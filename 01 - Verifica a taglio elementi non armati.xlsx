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Q:\00-STD\60-STR\6015-CALCOLO\601505 NTC 2018\601505-C  C.A\"/>
    </mc:Choice>
  </mc:AlternateContent>
  <xr:revisionPtr revIDLastSave="0" documentId="13_ncr:1_{0CA1D3D3-C0DB-4577-95EE-BC3A824044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VE NON ARMATA A TAGLIO" sheetId="1" r:id="rId1"/>
    <sheet name="TONDI" sheetId="2" r:id="rId2"/>
  </sheets>
  <definedNames>
    <definedName name="_AST1">'TRAVE NON ARMATA A TAGLIO'!#REF!</definedName>
    <definedName name="_AST2">'TRAVE NON ARMATA A TAGLIO'!#REF!</definedName>
    <definedName name="_LL1">'TRAVE NON ARMATA A TAGLIO'!#REF!</definedName>
    <definedName name="_LL2">'TRAVE NON ARMATA A TAGLIO'!#REF!</definedName>
    <definedName name="_NB1">'TRAVE NON ARMATA A TAGLIO'!#REF!</definedName>
    <definedName name="_NB2">'TRAVE NON ARMATA A TAGLIO'!#REF!</definedName>
    <definedName name="_ro1">'TRAVE NON ARMATA A TAGLIO'!$I$35</definedName>
    <definedName name="_tc1">'TRAVE NON ARMATA A TAGLIO'!#REF!</definedName>
    <definedName name="AAf">'TRAVE NON ARMATA A TAGLIO'!#REF!</definedName>
    <definedName name="Af">'TRAVE NON ARMATA A TAGLIO'!#REF!</definedName>
    <definedName name="_xlnm.Print_Area" localSheetId="0">'TRAVE NON ARMATA A TAGLIO'!$B$7:$J$44</definedName>
    <definedName name="As_sup">'TRAVE NON ARMATA A TAGLIO'!$I$34</definedName>
    <definedName name="B">'TRAVE NON ARMATA A TAGLIO'!$I$22</definedName>
    <definedName name="Bc">'TRAVE NON ARMATA A TAGLIO'!#REF!</definedName>
    <definedName name="beta">'TRAVE NON ARMATA A TAGLIO'!#REF!</definedName>
    <definedName name="Celle_sbloccate">'TRAVE NON ARMATA A TAGLIO'!$I$11,'TRAVE NON ARMATA A TAGLIO'!$I$12,'TRAVE NON ARMATA A TAGLIO'!$I$15,'TRAVE NON ARMATA A TAGLIO'!$I$22,'TRAVE NON ARMATA A TAGLIO'!$I$23,'TRAVE NON ARMATA A TAGLIO'!$I$24,'TRAVE NON ARMATA A TAGLIO'!$H$28,'TRAVE NON ARMATA A TAGLIO'!$H$29,'TRAVE NON ARMATA A TAGLIO'!$E$29,'TRAVE NON ARMATA A TAGLIO'!$E$28,'TRAVE NON ARMATA A TAGLIO'!$P$34</definedName>
    <definedName name="cls">TONDI!$G$3:$I$18</definedName>
    <definedName name="d">'TRAVE NON ARMATA A TAGLIO'!$I$24</definedName>
    <definedName name="DD">'TRAVE NON ARMATA A TAGLIO'!#REF!</definedName>
    <definedName name="DT">'TRAVE NON ARMATA A TAGLIO'!#REF!</definedName>
    <definedName name="dw">'TRAVE NON ARMATA A TAGLIO'!$I$24</definedName>
    <definedName name="e">'TRAVE NON ARMATA A TAGLIO'!#REF!</definedName>
    <definedName name="fcd">'TRAVE NON ARMATA A TAGLIO'!$I$19</definedName>
    <definedName name="fck">'TRAVE NON ARMATA A TAGLIO'!$I$17</definedName>
    <definedName name="gammaC">'TRAVE NON ARMATA A TAGLIO'!$I$18</definedName>
    <definedName name="H">'TRAVE NON ARMATA A TAGLIO'!$I$23</definedName>
    <definedName name="Jid">'TRAVE NON ARMATA A TAGLIO'!#REF!</definedName>
    <definedName name="k">'TRAVE NON ARMATA A TAGLIO'!$I$36</definedName>
    <definedName name="L">'TRAVE NON ARMATA A TAGLIO'!#REF!</definedName>
    <definedName name="L_1">'TRAVE NON ARMATA A TAGLIO'!#REF!</definedName>
    <definedName name="L_2">'TRAVE NON ARMATA A TAGLIO'!#REF!</definedName>
    <definedName name="lati_X">'TRAVE NON ARMATA A TAGLIO'!#REF!</definedName>
    <definedName name="lati_Y">'TRAVE NON ARMATA A TAGLIO'!#REF!</definedName>
    <definedName name="Lc">'TRAVE NON ARMATA A TAGLIO'!#REF!</definedName>
    <definedName name="LL">'TRAVE NON ARMATA A TAGLIO'!#REF!</definedName>
    <definedName name="luce">'TRAVE NON ARMATA A TAGLIO'!#REF!</definedName>
    <definedName name="M">'TRAVE NON ARMATA A TAGLIO'!#REF!</definedName>
    <definedName name="N">'TRAVE NON ARMATA A TAGLIO'!#REF!</definedName>
    <definedName name="nn">'TRAVE NON ARMATA A TAGLIO'!#REF!</definedName>
    <definedName name="NSd">'TRAVE NON ARMATA A TAGLIO'!$I$12</definedName>
    <definedName name="p_1">'TRAVE NON ARMATA A TAGLIO'!#REF!</definedName>
    <definedName name="p_2">'TRAVE NON ARMATA A TAGLIO'!#REF!</definedName>
    <definedName name="R_1">'TRAVE NON ARMATA A TAGLIO'!#REF!</definedName>
    <definedName name="R_2">'TRAVE NON ARMATA A TAGLIO'!#REF!</definedName>
    <definedName name="Rck">'TRAVE NON ARMATA A TAGLIO'!$I$16</definedName>
    <definedName name="sc">'TRAVE NON ARMATA A TAGLIO'!#REF!</definedName>
    <definedName name="sc_amm">'TRAVE NON ARMATA A TAGLIO'!#REF!</definedName>
    <definedName name="sf">'TRAVE NON ARMATA A TAGLIO'!#REF!</definedName>
    <definedName name="sf_amm">'TRAVE NON ARMATA A TAGLIO'!#REF!</definedName>
    <definedName name="Sid">'TRAVE NON ARMATA A TAGLIO'!#REF!</definedName>
    <definedName name="ssf">'TRAVE NON ARMATA A TAGLIO'!#REF!</definedName>
    <definedName name="T_1">'TRAVE NON ARMATA A TAGLIO'!#REF!</definedName>
    <definedName name="T_11">'TRAVE NON ARMATA A TAGLIO'!#REF!</definedName>
    <definedName name="T_12">'TRAVE NON ARMATA A TAGLIO'!#REF!</definedName>
    <definedName name="T_2">'TRAVE NON ARMATA A TAGLIO'!#REF!</definedName>
    <definedName name="T_22">'TRAVE NON ARMATA A TAGLIO'!#REF!</definedName>
    <definedName name="TA">'TRAVE NON ARMATA A TAGLIO'!#REF!</definedName>
    <definedName name="tab_tondi">TONDI!$A$4:$C$21</definedName>
    <definedName name="TB">'TRAVE NON ARMATA A TAGLIO'!#REF!</definedName>
    <definedName name="tbl_cls">TONDI!$G$3:$I$19</definedName>
    <definedName name="tco">'TRAVE NON ARMATA A TAGLIO'!#REF!</definedName>
    <definedName name="tipi_cls">TONDI!$G$3:$G$19</definedName>
    <definedName name="u">'TRAVE NON ARMATA A TAGLIO'!#REF!</definedName>
    <definedName name="u_x">'TRAVE NON ARMATA A TAGLIO'!#REF!</definedName>
    <definedName name="u_y">'TRAVE NON ARMATA A TAGLIO'!#REF!</definedName>
    <definedName name="v_min">'TRAVE NON ARMATA A TAGLIO'!$I$38</definedName>
    <definedName name="VRD">'TRAVE NON ARMATA A TAGLIO'!$I$40</definedName>
    <definedName name="Vsd">'TRAVE NON ARMATA A TAGLIO'!$I$11</definedName>
    <definedName name="x">'TRAVE NON ARMATA A TAGLIO'!#REF!</definedName>
    <definedName name="xx">'TRAVE NON ARMATA A TAGLIO'!#REF!</definedName>
    <definedName name="Z">'TRAVE NON ARMATA A TAGLIO'!#REF!</definedName>
    <definedName name="Z_5A1BFFBE_8420_40F7_B1BA_79530D413C95_.wvu.PrintArea" localSheetId="0" hidden="1">'TRAVE NON ARMATA A TAGLIO'!$B$8:$T$42</definedName>
    <definedName name="Z_5A1BFFBE_8420_40F7_B1BA_79530D413C95_.wvu.Rows" localSheetId="0" hidden="1">'TRAVE NON ARMATA A TAGLIO'!#REF!,'TRAVE NON ARMATA A TAGLIO'!#REF!</definedName>
    <definedName name="Z_89DD8AD6_2F56_4898_8E89_9615CDD5F574_.wvu.PrintArea" localSheetId="0" hidden="1">'TRAVE NON ARMATA A TAGLIO'!$B$8:$T$42</definedName>
    <definedName name="Z_89DD8AD6_2F56_4898_8E89_9615CDD5F574_.wvu.Rows" localSheetId="0" hidden="1">'TRAVE NON ARMATA A TAGLIO'!#REF!,'TRAVE NON ARMATA A TAGLIO'!#REF!</definedName>
    <definedName name="Z_FBBBFC0E_5CD1_4DE5_9FD7_84084FA09285_.wvu.PrintArea" localSheetId="0" hidden="1">'TRAVE NON ARMATA A TAGLIO'!$B$8:$T$42</definedName>
    <definedName name="Z_FBBBFC0E_5CD1_4DE5_9FD7_84084FA09285_.wvu.Rows" localSheetId="0" hidden="1">'TRAVE NON ARMATA A TAGLIO'!#REF!,'TRAVE NON ARMATA A TAGLIO'!#REF!</definedName>
    <definedName name="ZZ">'TRAVE NON ARMATA A TAGLIO'!#REF!</definedName>
  </definedNames>
  <calcPr calcId="191029"/>
  <customWorkbookViews>
    <customWorkbookView name="Costantini ing. Stefano - Visualizzazione personale" guid="{5A1BFFBE-8420-40F7-B1BA-79530D413C95}" mergeInterval="0" personalView="1" maximized="1" xWindow="5" yWindow="24" windowWidth="564" windowHeight="695" activeSheetId="1"/>
    <customWorkbookView name="ing.Alessandro Mizza - Visualizzazione personale" guid="{89DD8AD6-2F56-4898-8E89-9615CDD5F574}" mergeInterval="0" personalView="1" maximized="1" xWindow="5" yWindow="26" windowWidth="564" windowHeight="693" activeSheetId="1"/>
    <customWorkbookView name="SPI - Visualizzazione personale" guid="{FBBBFC0E-5CD1-4DE5-9FD7-84084FA09285}" mergeInterval="0" personalView="1" maximized="1" xWindow="5" yWindow="31" windowWidth="564" windowHeight="68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6" i="1" l="1"/>
  <c r="I17" i="1" l="1"/>
  <c r="I19" i="1" s="1"/>
  <c r="I37" i="1" s="1"/>
  <c r="E30" i="1" l="1"/>
  <c r="H30" i="1"/>
  <c r="I36" i="1"/>
  <c r="I38" i="1" l="1"/>
  <c r="I34" i="1"/>
  <c r="I35" i="1" s="1"/>
  <c r="I40" i="1" l="1"/>
  <c r="I41" i="1" s="1"/>
  <c r="H43" i="1" l="1"/>
</calcChain>
</file>

<file path=xl/sharedStrings.xml><?xml version="1.0" encoding="utf-8"?>
<sst xmlns="http://schemas.openxmlformats.org/spreadsheetml/2006/main" count="120" uniqueCount="101">
  <si>
    <t>Armatura 1</t>
  </si>
  <si>
    <t>Armatura 2</t>
  </si>
  <si>
    <t>opzione barre filettate [S/N]</t>
  </si>
  <si>
    <t>mm</t>
  </si>
  <si>
    <t>TONDI D' ARMATURA E TIRAFONDI</t>
  </si>
  <si>
    <t>f</t>
  </si>
  <si>
    <t>Area</t>
  </si>
  <si>
    <t>Area netta filettata</t>
  </si>
  <si>
    <t>[mm]</t>
  </si>
  <si>
    <r>
      <t>[mm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]</t>
    </r>
  </si>
  <si>
    <r>
      <t>mm</t>
    </r>
    <r>
      <rPr>
        <vertAlign val="superscript"/>
        <sz val="10"/>
        <rFont val="Arial"/>
        <family val="2"/>
      </rPr>
      <t>2</t>
    </r>
  </si>
  <si>
    <r>
      <t>N/mm</t>
    </r>
    <r>
      <rPr>
        <vertAlign val="superscript"/>
        <sz val="10"/>
        <rFont val="Arial"/>
        <family val="2"/>
      </rPr>
      <t>2</t>
    </r>
  </si>
  <si>
    <r>
      <t>N'</t>
    </r>
    <r>
      <rPr>
        <vertAlign val="subscript"/>
        <sz val="10"/>
        <rFont val="Arial"/>
        <family val="2"/>
      </rPr>
      <t>s</t>
    </r>
  </si>
  <si>
    <t>kN</t>
  </si>
  <si>
    <t>Sollecitazioni</t>
  </si>
  <si>
    <t>Materiali</t>
  </si>
  <si>
    <t>Calcestruzzo</t>
  </si>
  <si>
    <t>Sezione resistente</t>
  </si>
  <si>
    <t>Tensione resistente (riferita a B*h)</t>
  </si>
  <si>
    <t>Verifica a taglio DM 17/01/18 - elementi non armati a taglio</t>
  </si>
  <si>
    <t>Taglio agente di progetto</t>
  </si>
  <si>
    <t>C8/10</t>
  </si>
  <si>
    <t>C12/15</t>
  </si>
  <si>
    <t>C16/20</t>
  </si>
  <si>
    <t>C20/25</t>
  </si>
  <si>
    <t>C25/30</t>
  </si>
  <si>
    <t>C35/45</t>
  </si>
  <si>
    <t>C40/50</t>
  </si>
  <si>
    <t>C45/55</t>
  </si>
  <si>
    <t>C50/60</t>
  </si>
  <si>
    <t>C60/75</t>
  </si>
  <si>
    <t>C70/85</t>
  </si>
  <si>
    <t>C80/95</t>
  </si>
  <si>
    <t>C90/105</t>
  </si>
  <si>
    <t>Classe di resistenza a compressione</t>
  </si>
  <si>
    <t>Resistenza caratteristica cilindrica minima</t>
  </si>
  <si>
    <t>Resistenza caratteristica cubica minima</t>
  </si>
  <si>
    <t>C55/67</t>
  </si>
  <si>
    <t>C100/115</t>
  </si>
  <si>
    <r>
      <t>f</t>
    </r>
    <r>
      <rPr>
        <i/>
        <sz val="7"/>
        <rFont val="Arial"/>
        <family val="2"/>
      </rPr>
      <t>ck,cyl</t>
    </r>
    <r>
      <rPr>
        <sz val="10"/>
        <rFont val="Arial"/>
        <family val="2"/>
      </rPr>
      <t>  [N/mm</t>
    </r>
    <r>
      <rPr>
        <sz val="7"/>
        <rFont val="Arial"/>
        <family val="2"/>
      </rPr>
      <t>2</t>
    </r>
    <r>
      <rPr>
        <sz val="10"/>
        <rFont val="Arial"/>
        <family val="2"/>
      </rPr>
      <t>]</t>
    </r>
  </si>
  <si>
    <r>
      <t>f</t>
    </r>
    <r>
      <rPr>
        <i/>
        <sz val="7"/>
        <rFont val="Arial"/>
        <family val="2"/>
      </rPr>
      <t>ck,cube</t>
    </r>
    <r>
      <rPr>
        <sz val="10"/>
        <rFont val="Arial"/>
        <family val="2"/>
      </rPr>
      <t>  [N/mm</t>
    </r>
    <r>
      <rPr>
        <sz val="7"/>
        <rFont val="Arial"/>
        <family val="2"/>
      </rPr>
      <t>2</t>
    </r>
    <r>
      <rPr>
        <sz val="10"/>
        <rFont val="Arial"/>
        <family val="2"/>
      </rPr>
      <t>]</t>
    </r>
  </si>
  <si>
    <r>
      <t>A'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=</t>
    </r>
  </si>
  <si>
    <r>
      <t>A'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=</t>
    </r>
  </si>
  <si>
    <t>Resistenza cubica caratteristica</t>
  </si>
  <si>
    <t>Resistenza cilindrica caratteristica</t>
  </si>
  <si>
    <t>Coeff parziale sicurezza cls</t>
  </si>
  <si>
    <t>Larghezza minima sezione</t>
  </si>
  <si>
    <t>h</t>
  </si>
  <si>
    <t>Altezza sezione</t>
  </si>
  <si>
    <t>Altezza utile sezione</t>
  </si>
  <si>
    <r>
      <t>R</t>
    </r>
    <r>
      <rPr>
        <i/>
        <vertAlign val="subscript"/>
        <sz val="10"/>
        <rFont val="Arial"/>
        <family val="2"/>
      </rPr>
      <t>ck</t>
    </r>
  </si>
  <si>
    <r>
      <t>f</t>
    </r>
    <r>
      <rPr>
        <i/>
        <vertAlign val="subscript"/>
        <sz val="10"/>
        <rFont val="Arial"/>
        <family val="2"/>
      </rPr>
      <t>ck</t>
    </r>
  </si>
  <si>
    <r>
      <t>b</t>
    </r>
    <r>
      <rPr>
        <i/>
        <vertAlign val="subscript"/>
        <sz val="10"/>
        <rFont val="Arial"/>
        <family val="2"/>
      </rPr>
      <t>w</t>
    </r>
  </si>
  <si>
    <t xml:space="preserve">d </t>
  </si>
  <si>
    <t>Armatura longitudinale tesa</t>
  </si>
  <si>
    <t>Rapporto geometrico di arm long tesa</t>
  </si>
  <si>
    <t>Coefficiente di forma</t>
  </si>
  <si>
    <t>k</t>
  </si>
  <si>
    <t>Resistenza minima garantita</t>
  </si>
  <si>
    <t>Sfruttamento</t>
  </si>
  <si>
    <r>
      <t>A</t>
    </r>
    <r>
      <rPr>
        <i/>
        <vertAlign val="subscript"/>
        <sz val="10"/>
        <rFont val="Arial"/>
        <family val="2"/>
      </rPr>
      <t>s</t>
    </r>
    <r>
      <rPr>
        <i/>
        <sz val="10"/>
        <rFont val="Arial"/>
        <family val="2"/>
      </rPr>
      <t>'/(b</t>
    </r>
    <r>
      <rPr>
        <i/>
        <vertAlign val="subscript"/>
        <sz val="10"/>
        <rFont val="Arial"/>
        <family val="2"/>
      </rPr>
      <t>w</t>
    </r>
    <r>
      <rPr>
        <i/>
        <sz val="10"/>
        <rFont val="Arial"/>
        <family val="2"/>
      </rPr>
      <t>×d)</t>
    </r>
  </si>
  <si>
    <t>-</t>
  </si>
  <si>
    <t>Resistenza a taglio</t>
  </si>
  <si>
    <r>
      <t>ρ</t>
    </r>
    <r>
      <rPr>
        <i/>
        <vertAlign val="subscript"/>
        <sz val="10"/>
        <rFont val="Arial"/>
        <family val="2"/>
      </rPr>
      <t>1</t>
    </r>
  </si>
  <si>
    <r>
      <t>V</t>
    </r>
    <r>
      <rPr>
        <i/>
        <vertAlign val="subscript"/>
        <sz val="10"/>
        <rFont val="Arial"/>
        <family val="2"/>
      </rPr>
      <t>Rd</t>
    </r>
  </si>
  <si>
    <t>(eq.4.1.23)</t>
  </si>
  <si>
    <r>
      <t>γ</t>
    </r>
    <r>
      <rPr>
        <i/>
        <vertAlign val="subscript"/>
        <sz val="10"/>
        <rFont val="Arial"/>
        <family val="2"/>
      </rPr>
      <t>c</t>
    </r>
  </si>
  <si>
    <r>
      <t>φ'</t>
    </r>
    <r>
      <rPr>
        <vertAlign val="subscript"/>
        <sz val="10"/>
        <rFont val="Arial"/>
        <family val="2"/>
      </rPr>
      <t>s</t>
    </r>
  </si>
  <si>
    <r>
      <t>ν</t>
    </r>
    <r>
      <rPr>
        <i/>
        <vertAlign val="subscript"/>
        <sz val="10"/>
        <rFont val="Arial"/>
        <family val="2"/>
      </rPr>
      <t>min</t>
    </r>
  </si>
  <si>
    <t xml:space="preserve">  §4.1.2.3.5.1</t>
  </si>
  <si>
    <r>
      <t>A'</t>
    </r>
    <r>
      <rPr>
        <i/>
        <vertAlign val="subscript"/>
        <sz val="10"/>
        <rFont val="Arial"/>
        <family val="2"/>
      </rPr>
      <t>1</t>
    </r>
    <r>
      <rPr>
        <i/>
        <sz val="10"/>
        <rFont val="Arial"/>
        <family val="2"/>
      </rPr>
      <t>+A'</t>
    </r>
    <r>
      <rPr>
        <i/>
        <vertAlign val="subscript"/>
        <sz val="10"/>
        <rFont val="Arial"/>
        <family val="2"/>
      </rPr>
      <t>2</t>
    </r>
  </si>
  <si>
    <t>Armatura longitudinale nella parte tesa</t>
  </si>
  <si>
    <t>è possibile utilizzare l'area netta delle barre, tuttavia di default non è necessario visto che nella norma italiana non è richiesto</t>
  </si>
  <si>
    <t>N</t>
  </si>
  <si>
    <t>CELLE EDITABILI</t>
  </si>
  <si>
    <t>Per copiare selezionare "Area_stampa"</t>
  </si>
  <si>
    <r>
      <t>V</t>
    </r>
    <r>
      <rPr>
        <i/>
        <vertAlign val="subscript"/>
        <sz val="10"/>
        <rFont val="Arial"/>
        <family val="2"/>
      </rPr>
      <t>Ed</t>
    </r>
    <r>
      <rPr>
        <i/>
        <sz val="10"/>
        <rFont val="Arial"/>
        <family val="2"/>
      </rPr>
      <t xml:space="preserve"> / V</t>
    </r>
    <r>
      <rPr>
        <i/>
        <vertAlign val="subscript"/>
        <sz val="10"/>
        <rFont val="Arial"/>
        <family val="2"/>
      </rPr>
      <t>Rd</t>
    </r>
  </si>
  <si>
    <r>
      <t xml:space="preserve">A' </t>
    </r>
    <r>
      <rPr>
        <i/>
        <vertAlign val="subscript"/>
        <sz val="10"/>
        <rFont val="Arial"/>
        <family val="2"/>
      </rPr>
      <t>s</t>
    </r>
  </si>
  <si>
    <t>Sforzo assiale di progetto</t>
  </si>
  <si>
    <r>
      <t>V</t>
    </r>
    <r>
      <rPr>
        <i/>
        <vertAlign val="subscript"/>
        <sz val="10"/>
        <rFont val="Arial"/>
        <family val="2"/>
      </rPr>
      <t>Ed</t>
    </r>
  </si>
  <si>
    <r>
      <t>N</t>
    </r>
    <r>
      <rPr>
        <i/>
        <vertAlign val="subscript"/>
        <sz val="10"/>
        <rFont val="Arial"/>
        <family val="2"/>
      </rPr>
      <t>Ed</t>
    </r>
  </si>
  <si>
    <t>Tensione media di compressione</t>
  </si>
  <si>
    <r>
      <t>σ</t>
    </r>
    <r>
      <rPr>
        <i/>
        <vertAlign val="subscript"/>
        <sz val="10"/>
        <color theme="1"/>
        <rFont val="Arial "/>
      </rPr>
      <t>cp</t>
    </r>
    <r>
      <rPr>
        <i/>
        <sz val="8"/>
        <color theme="1"/>
        <rFont val="Times New Roman"/>
        <family val="1"/>
      </rPr>
      <t/>
    </r>
  </si>
  <si>
    <r>
      <t>N</t>
    </r>
    <r>
      <rPr>
        <i/>
        <vertAlign val="subscript"/>
        <sz val="10"/>
        <color theme="1"/>
        <rFont val="Arial"/>
        <family val="2"/>
      </rPr>
      <t>Ed</t>
    </r>
    <r>
      <rPr>
        <i/>
        <sz val="10"/>
        <color theme="1"/>
        <rFont val="Arial"/>
        <family val="2"/>
      </rPr>
      <t>/A</t>
    </r>
    <r>
      <rPr>
        <i/>
        <vertAlign val="subscript"/>
        <sz val="10"/>
        <color theme="1"/>
        <rFont val="Arial"/>
        <family val="2"/>
      </rPr>
      <t>c</t>
    </r>
    <r>
      <rPr>
        <i/>
        <sz val="10"/>
        <color theme="1"/>
        <rFont val="Arial"/>
        <family val="2"/>
      </rPr>
      <t xml:space="preserve"> ≤ 0.02f</t>
    </r>
    <r>
      <rPr>
        <i/>
        <vertAlign val="subscript"/>
        <sz val="10"/>
        <color theme="1"/>
        <rFont val="Arial"/>
        <family val="2"/>
      </rPr>
      <t xml:space="preserve">cd </t>
    </r>
  </si>
  <si>
    <t>Resistenza cilindrica di progetto</t>
  </si>
  <si>
    <r>
      <t>f</t>
    </r>
    <r>
      <rPr>
        <i/>
        <vertAlign val="subscript"/>
        <sz val="10"/>
        <rFont val="Arial"/>
        <family val="2"/>
      </rPr>
      <t>cd</t>
    </r>
  </si>
  <si>
    <r>
      <rPr>
        <i/>
        <sz val="10"/>
        <rFont val="Microsoft Tai Le"/>
        <family val="2"/>
      </rPr>
      <t>τ</t>
    </r>
    <r>
      <rPr>
        <i/>
        <vertAlign val="subscript"/>
        <sz val="10"/>
        <rFont val="Arial"/>
        <family val="2"/>
      </rPr>
      <t>Rd</t>
    </r>
    <r>
      <rPr>
        <i/>
        <sz val="10"/>
        <rFont val="Arial"/>
        <family val="2"/>
      </rPr>
      <t xml:space="preserve"> </t>
    </r>
  </si>
  <si>
    <r>
      <t>V</t>
    </r>
    <r>
      <rPr>
        <i/>
        <vertAlign val="subscript"/>
        <sz val="10"/>
        <rFont val="Arial"/>
        <family val="2"/>
      </rPr>
      <t>Rd</t>
    </r>
    <r>
      <rPr>
        <i/>
        <sz val="10"/>
        <rFont val="Arial"/>
        <family val="2"/>
      </rPr>
      <t>/(b</t>
    </r>
    <r>
      <rPr>
        <i/>
        <vertAlign val="subscript"/>
        <sz val="10"/>
        <rFont val="Arial"/>
        <family val="2"/>
      </rPr>
      <t>w</t>
    </r>
    <r>
      <rPr>
        <i/>
        <sz val="10"/>
        <rFont val="Arial"/>
        <family val="2"/>
      </rPr>
      <t>*h)</t>
    </r>
  </si>
  <si>
    <t>REVISION</t>
  </si>
  <si>
    <t>R00</t>
  </si>
  <si>
    <t>R01</t>
  </si>
  <si>
    <t>R02</t>
  </si>
  <si>
    <t>DATE</t>
  </si>
  <si>
    <t>COMP.</t>
  </si>
  <si>
    <t>MC/ADC/BA</t>
  </si>
  <si>
    <t>NOTE</t>
  </si>
  <si>
    <t>COLLEGAMENTI RAPIDI</t>
  </si>
  <si>
    <t>C28/35</t>
  </si>
  <si>
    <r>
      <t>0.035×k</t>
    </r>
    <r>
      <rPr>
        <i/>
        <vertAlign val="superscript"/>
        <sz val="10"/>
        <rFont val="Arial"/>
        <family val="2"/>
      </rPr>
      <t>3/2</t>
    </r>
    <r>
      <rPr>
        <i/>
        <sz val="10"/>
        <rFont val="Arial"/>
        <family val="2"/>
      </rPr>
      <t>×f</t>
    </r>
    <r>
      <rPr>
        <i/>
        <vertAlign val="subscript"/>
        <sz val="10"/>
        <rFont val="Arial"/>
        <family val="2"/>
      </rPr>
      <t>ck</t>
    </r>
    <r>
      <rPr>
        <i/>
        <vertAlign val="superscript"/>
        <sz val="10"/>
        <rFont val="Arial"/>
        <family val="2"/>
      </rPr>
      <t>1/2</t>
    </r>
  </si>
  <si>
    <r>
      <t>1+ (200/d)</t>
    </r>
    <r>
      <rPr>
        <i/>
        <vertAlign val="superscript"/>
        <sz val="10"/>
        <rFont val="Arial"/>
        <family val="2"/>
      </rPr>
      <t>1/2</t>
    </r>
    <r>
      <rPr>
        <i/>
        <sz val="10"/>
        <rFont val="Arial"/>
        <family val="2"/>
      </rPr>
      <t xml:space="preserve"> ≤ 2</t>
    </r>
  </si>
  <si>
    <t>C32/40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</si>
</sst>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4">
    <font>
      <sz val="10"/>
      <name val="Arial"/>
    </font>
    <font>
      <sz val="10"/>
      <name val="Arial"/>
      <family val="2"/>
    </font>
    <font>
      <sz val="10"/>
      <name val="Symbol"/>
      <family val="1"/>
      <charset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 "/>
    </font>
    <font>
      <i/>
      <vertAlign val="subscript"/>
      <sz val="10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i/>
      <vertAlign val="superscript"/>
      <sz val="10"/>
      <name val="Arial"/>
      <family val="2"/>
    </font>
    <font>
      <i/>
      <sz val="9"/>
      <name val="Arial"/>
      <family val="2"/>
    </font>
    <font>
      <i/>
      <sz val="8"/>
      <color theme="1"/>
      <name val="Times New Roman"/>
      <family val="1"/>
    </font>
    <font>
      <i/>
      <sz val="10"/>
      <color theme="1"/>
      <name val="Arial "/>
    </font>
    <font>
      <i/>
      <vertAlign val="subscript"/>
      <sz val="10"/>
      <color theme="1"/>
      <name val="Arial 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i/>
      <sz val="10"/>
      <name val="Microsoft Tai Le"/>
      <family val="2"/>
    </font>
    <font>
      <b/>
      <sz val="10"/>
      <name val="Arial"/>
      <family val="2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E1E1E1"/>
      </left>
      <right style="medium">
        <color rgb="FFE1E1E1"/>
      </right>
      <top/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/>
      <bottom/>
      <diagonal/>
    </border>
    <border>
      <left/>
      <right style="medium">
        <color rgb="FFE1E1E1"/>
      </right>
      <top/>
      <bottom style="medium">
        <color rgb="FFE1E1E1"/>
      </bottom>
      <diagonal/>
    </border>
    <border>
      <left/>
      <right style="medium">
        <color rgb="FFE1E1E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6" borderId="18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left"/>
    </xf>
    <xf numFmtId="0" fontId="1" fillId="0" borderId="12" xfId="0" applyFont="1" applyBorder="1"/>
    <xf numFmtId="0" fontId="8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0" fontId="1" fillId="0" borderId="4" xfId="0" applyFont="1" applyBorder="1"/>
    <xf numFmtId="0" fontId="1" fillId="0" borderId="10" xfId="0" applyFont="1" applyBorder="1"/>
    <xf numFmtId="0" fontId="7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5" xfId="0" applyFont="1" applyBorder="1"/>
    <xf numFmtId="0" fontId="8" fillId="0" borderId="13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13" xfId="0" applyFont="1" applyBorder="1"/>
    <xf numFmtId="0" fontId="1" fillId="0" borderId="0" xfId="0" applyFont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 applyProtection="1">
      <alignment horizontal="center"/>
      <protection locked="0"/>
    </xf>
    <xf numFmtId="0" fontId="7" fillId="0" borderId="0" xfId="0" applyFont="1"/>
    <xf numFmtId="0" fontId="7" fillId="0" borderId="0" xfId="0" applyFont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3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" fillId="0" borderId="6" xfId="0" applyFont="1" applyBorder="1"/>
    <xf numFmtId="0" fontId="7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/>
    <xf numFmtId="0" fontId="1" fillId="3" borderId="0" xfId="0" applyFont="1" applyFill="1"/>
    <xf numFmtId="0" fontId="7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9" fillId="3" borderId="9" xfId="0" applyFont="1" applyFill="1" applyBorder="1" applyAlignment="1" applyProtection="1">
      <alignment horizontal="center"/>
      <protection locked="0"/>
    </xf>
    <xf numFmtId="0" fontId="1" fillId="3" borderId="0" xfId="0" applyFont="1" applyFill="1" applyAlignment="1">
      <alignment vertical="center" wrapText="1"/>
    </xf>
    <xf numFmtId="2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2" fontId="1" fillId="0" borderId="0" xfId="0" applyNumberFormat="1" applyFont="1" applyAlignment="1" applyProtection="1">
      <alignment horizontal="center"/>
      <protection locked="0"/>
    </xf>
    <xf numFmtId="165" fontId="1" fillId="0" borderId="0" xfId="0" applyNumberFormat="1" applyFont="1" applyAlignment="1">
      <alignment horizontal="center" vertical="center"/>
    </xf>
    <xf numFmtId="0" fontId="1" fillId="4" borderId="5" xfId="0" applyFont="1" applyFill="1" applyBorder="1"/>
    <xf numFmtId="0" fontId="1" fillId="4" borderId="0" xfId="0" applyFont="1" applyFill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10" xfId="0" applyFont="1" applyFill="1" applyBorder="1"/>
    <xf numFmtId="0" fontId="1" fillId="7" borderId="11" xfId="0" applyFont="1" applyFill="1" applyBorder="1"/>
    <xf numFmtId="0" fontId="1" fillId="4" borderId="0" xfId="0" applyFont="1" applyFill="1"/>
    <xf numFmtId="0" fontId="1" fillId="4" borderId="13" xfId="0" applyFont="1" applyFill="1" applyBorder="1"/>
    <xf numFmtId="0" fontId="1" fillId="7" borderId="19" xfId="0" applyFont="1" applyFill="1" applyBorder="1" applyAlignment="1">
      <alignment horizontal="left"/>
    </xf>
    <xf numFmtId="0" fontId="1" fillId="7" borderId="19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23" fillId="7" borderId="0" xfId="2" applyFill="1" applyBorder="1" applyAlignment="1" applyProtection="1">
      <alignment horizontal="center"/>
    </xf>
    <xf numFmtId="0" fontId="1" fillId="7" borderId="0" xfId="0" applyFont="1" applyFill="1" applyAlignment="1">
      <alignment horizontal="center"/>
    </xf>
    <xf numFmtId="0" fontId="23" fillId="7" borderId="13" xfId="2" applyFill="1" applyBorder="1" applyAlignment="1" applyProtection="1">
      <alignment horizontal="center"/>
    </xf>
    <xf numFmtId="14" fontId="1" fillId="7" borderId="20" xfId="0" applyNumberFormat="1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1" fillId="7" borderId="6" xfId="0" applyFont="1" applyFill="1" applyBorder="1"/>
    <xf numFmtId="0" fontId="1" fillId="7" borderId="12" xfId="0" applyFont="1" applyFill="1" applyBorder="1"/>
    <xf numFmtId="0" fontId="1" fillId="7" borderId="14" xfId="0" applyFont="1" applyFill="1" applyBorder="1"/>
    <xf numFmtId="0" fontId="1" fillId="7" borderId="26" xfId="0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12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14" xfId="0" applyFont="1" applyFill="1" applyBorder="1"/>
    <xf numFmtId="0" fontId="7" fillId="0" borderId="0" xfId="0" applyFont="1" applyAlignment="1">
      <alignment horizontal="center" vertical="center"/>
    </xf>
    <xf numFmtId="164" fontId="10" fillId="0" borderId="0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left"/>
    </xf>
    <xf numFmtId="0" fontId="15" fillId="3" borderId="8" xfId="0" applyFont="1" applyFill="1" applyBorder="1" applyAlignment="1">
      <alignment horizontal="left"/>
    </xf>
    <xf numFmtId="0" fontId="15" fillId="3" borderId="9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3">
    <cellStyle name="Collegamento ipertestuale" xfId="2" builtinId="8"/>
    <cellStyle name="Normale" xfId="0" builtinId="0"/>
    <cellStyle name="Percentuale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1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154122</xdr:colOff>
      <xdr:row>24</xdr:row>
      <xdr:rowOff>107429</xdr:rowOff>
    </xdr:from>
    <xdr:to>
      <xdr:col>2</xdr:col>
      <xdr:colOff>1354791</xdr:colOff>
      <xdr:row>32</xdr:row>
      <xdr:rowOff>22619</xdr:rowOff>
    </xdr:to>
    <xdr:grpSp>
      <xdr:nvGrpSpPr>
        <xdr:cNvPr id="4" name="Gruppo 3">
          <a:extLst>
            <a:ext uri="{FF2B5EF4-FFF2-40B4-BE49-F238E27FC236}">
              <a16:creationId xmlns:a16="http://schemas.microsoft.com/office/drawing/2014/main" id="{8B82F671-D324-4404-8103-21756941CD60}"/>
            </a:ext>
          </a:extLst>
        </xdr:cNvPr>
        <xdr:cNvGrpSpPr/>
      </xdr:nvGrpSpPr>
      <xdr:grpSpPr>
        <a:xfrm>
          <a:off x="352905" y="4000255"/>
          <a:ext cx="1200669" cy="1306668"/>
          <a:chOff x="1868835" y="1772532"/>
          <a:chExt cx="1200669" cy="1291091"/>
        </a:xfrm>
      </xdr:grpSpPr>
      <xdr:grpSp>
        <xdr:nvGrpSpPr>
          <xdr:cNvPr id="3" name="Gruppo 2">
            <a:extLst>
              <a:ext uri="{FF2B5EF4-FFF2-40B4-BE49-F238E27FC236}">
                <a16:creationId xmlns:a16="http://schemas.microsoft.com/office/drawing/2014/main" id="{C9158A77-CBDD-4FC0-AE2B-68C5648535CB}"/>
              </a:ext>
            </a:extLst>
          </xdr:cNvPr>
          <xdr:cNvGrpSpPr/>
        </xdr:nvGrpSpPr>
        <xdr:grpSpPr>
          <a:xfrm>
            <a:off x="2702335" y="1772532"/>
            <a:ext cx="353654" cy="1013069"/>
            <a:chOff x="2839389" y="2210873"/>
            <a:chExt cx="351620" cy="1010992"/>
          </a:xfrm>
        </xdr:grpSpPr>
        <xdr:sp macro="" textlink="">
          <xdr:nvSpPr>
            <xdr:cNvPr id="9431" name="Line 19">
              <a:extLst>
                <a:ext uri="{FF2B5EF4-FFF2-40B4-BE49-F238E27FC236}">
                  <a16:creationId xmlns:a16="http://schemas.microsoft.com/office/drawing/2014/main" id="{D56104D4-3499-4872-9F1E-E75E63D935A5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2858036" y="3136543"/>
              <a:ext cx="66675" cy="10397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33" name="Line 22">
              <a:extLst>
                <a:ext uri="{FF2B5EF4-FFF2-40B4-BE49-F238E27FC236}">
                  <a16:creationId xmlns:a16="http://schemas.microsoft.com/office/drawing/2014/main" id="{83470688-5EB9-4301-8071-C011877C19FE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2858036" y="2268426"/>
              <a:ext cx="66675" cy="10397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37" name="Line 27">
              <a:extLst>
                <a:ext uri="{FF2B5EF4-FFF2-40B4-BE49-F238E27FC236}">
                  <a16:creationId xmlns:a16="http://schemas.microsoft.com/office/drawing/2014/main" id="{6FD2359F-1688-4BD4-8ED6-7222ED0E58A1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3105284" y="3136140"/>
              <a:ext cx="66675" cy="10477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39" name="Line 30">
              <a:extLst>
                <a:ext uri="{FF2B5EF4-FFF2-40B4-BE49-F238E27FC236}">
                  <a16:creationId xmlns:a16="http://schemas.microsoft.com/office/drawing/2014/main" id="{3EEB17D5-2B8C-4CB6-A385-2417115BE2C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3105284" y="2191823"/>
              <a:ext cx="66675" cy="10477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" name="Gruppo 1">
            <a:extLst>
              <a:ext uri="{FF2B5EF4-FFF2-40B4-BE49-F238E27FC236}">
                <a16:creationId xmlns:a16="http://schemas.microsoft.com/office/drawing/2014/main" id="{5488BD94-269E-4098-9735-B0ED18B32647}"/>
              </a:ext>
            </a:extLst>
          </xdr:cNvPr>
          <xdr:cNvGrpSpPr/>
        </xdr:nvGrpSpPr>
        <xdr:grpSpPr>
          <a:xfrm>
            <a:off x="1868835" y="1792497"/>
            <a:ext cx="1200669" cy="1271126"/>
            <a:chOff x="2020776" y="2239448"/>
            <a:chExt cx="1198808" cy="1268703"/>
          </a:xfrm>
        </xdr:grpSpPr>
        <xdr:sp macro="" textlink="">
          <xdr:nvSpPr>
            <xdr:cNvPr id="9421" name="Rectangle 3">
              <a:extLst>
                <a:ext uri="{FF2B5EF4-FFF2-40B4-BE49-F238E27FC236}">
                  <a16:creationId xmlns:a16="http://schemas.microsoft.com/office/drawing/2014/main" id="{68AD8931-655F-429A-A69C-853F68D72B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87451" y="2248973"/>
              <a:ext cx="618588" cy="944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9422" name="Line 4">
              <a:extLst>
                <a:ext uri="{FF2B5EF4-FFF2-40B4-BE49-F238E27FC236}">
                  <a16:creationId xmlns:a16="http://schemas.microsoft.com/office/drawing/2014/main" id="{99B051FC-531C-4C39-BD9D-B4F4FC1AFE0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39851" y="2315648"/>
              <a:ext cx="351888" cy="0"/>
            </a:xfrm>
            <a:prstGeom prst="line">
              <a:avLst/>
            </a:prstGeom>
            <a:noFill/>
            <a:ln w="381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23" name="Line 6">
              <a:extLst>
                <a:ext uri="{FF2B5EF4-FFF2-40B4-BE49-F238E27FC236}">
                  <a16:creationId xmlns:a16="http://schemas.microsoft.com/office/drawing/2014/main" id="{C34439E7-5D4D-4DEB-B075-E53968E893C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96539" y="2248973"/>
              <a:ext cx="0" cy="9922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24" name="Line 10">
              <a:extLst>
                <a:ext uri="{FF2B5EF4-FFF2-40B4-BE49-F238E27FC236}">
                  <a16:creationId xmlns:a16="http://schemas.microsoft.com/office/drawing/2014/main" id="{407E7198-C2CB-4BE5-9E82-ECB0FF1D9B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0776" y="3441476"/>
              <a:ext cx="7424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25" name="Line 9">
              <a:extLst>
                <a:ext uri="{FF2B5EF4-FFF2-40B4-BE49-F238E27FC236}">
                  <a16:creationId xmlns:a16="http://schemas.microsoft.com/office/drawing/2014/main" id="{CB4C2D1F-9485-467F-801D-97F2DC899C0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058876" y="3384058"/>
              <a:ext cx="57150" cy="114568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26" name="Line 11">
              <a:extLst>
                <a:ext uri="{FF2B5EF4-FFF2-40B4-BE49-F238E27FC236}">
                  <a16:creationId xmlns:a16="http://schemas.microsoft.com/office/drawing/2014/main" id="{88CE8DE7-AA3D-4256-8C44-E4FDFB9A0E2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87451" y="3355483"/>
              <a:ext cx="0" cy="15266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27" name="Line 14">
              <a:extLst>
                <a:ext uri="{FF2B5EF4-FFF2-40B4-BE49-F238E27FC236}">
                  <a16:creationId xmlns:a16="http://schemas.microsoft.com/office/drawing/2014/main" id="{CAC618EE-2826-44F3-8890-F2A5FF0BE74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677464" y="3384058"/>
              <a:ext cx="66675" cy="114568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28" name="Line 15">
              <a:extLst>
                <a:ext uri="{FF2B5EF4-FFF2-40B4-BE49-F238E27FC236}">
                  <a16:creationId xmlns:a16="http://schemas.microsoft.com/office/drawing/2014/main" id="{8F607D99-1FCF-42A4-8F03-399609210B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15564" y="3355483"/>
              <a:ext cx="0" cy="15266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0" name="Text Box 16">
              <a:extLst>
                <a:ext uri="{FF2B5EF4-FFF2-40B4-BE49-F238E27FC236}">
                  <a16:creationId xmlns:a16="http://schemas.microsoft.com/office/drawing/2014/main" id="{56801462-7083-4AAD-BC45-A43F5FA5E3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63676" y="3269758"/>
              <a:ext cx="218538" cy="17171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it-IT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1041" name="Text Box 17">
              <a:extLst>
                <a:ext uri="{FF2B5EF4-FFF2-40B4-BE49-F238E27FC236}">
                  <a16:creationId xmlns:a16="http://schemas.microsoft.com/office/drawing/2014/main" id="{BAAFA3C0-620F-4C26-BB58-649766815C0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00811" y="2333746"/>
              <a:ext cx="329504" cy="17561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it-IT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A's</a:t>
              </a:r>
            </a:p>
          </xdr:txBody>
        </xdr:sp>
        <xdr:sp macro="" textlink="">
          <xdr:nvSpPr>
            <xdr:cNvPr id="9432" name="Line 20">
              <a:extLst>
                <a:ext uri="{FF2B5EF4-FFF2-40B4-BE49-F238E27FC236}">
                  <a16:creationId xmlns:a16="http://schemas.microsoft.com/office/drawing/2014/main" id="{BCF19AD8-7730-40F2-A35F-091F4C6D7726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2900899" y="3122255"/>
              <a:ext cx="0" cy="14207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34" name="Line 23">
              <a:extLst>
                <a:ext uri="{FF2B5EF4-FFF2-40B4-BE49-F238E27FC236}">
                  <a16:creationId xmlns:a16="http://schemas.microsoft.com/office/drawing/2014/main" id="{D0B594C8-15FD-4AA3-847C-8FAD80815FA4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2900899" y="2254138"/>
              <a:ext cx="0" cy="14207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8" name="Text Box 24">
              <a:extLst>
                <a:ext uri="{FF2B5EF4-FFF2-40B4-BE49-F238E27FC236}">
                  <a16:creationId xmlns:a16="http://schemas.microsoft.com/office/drawing/2014/main" id="{0DD3C78F-E83F-44C8-8BF7-BE31574ABA3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63189" y="2704805"/>
              <a:ext cx="198955" cy="17171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it-IT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9436" name="Line 25">
              <a:extLst>
                <a:ext uri="{FF2B5EF4-FFF2-40B4-BE49-F238E27FC236}">
                  <a16:creationId xmlns:a16="http://schemas.microsoft.com/office/drawing/2014/main" id="{631AF3FE-5E04-4001-B8A3-9697614972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143384" y="2239448"/>
              <a:ext cx="0" cy="1039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38" name="Line 28">
              <a:extLst>
                <a:ext uri="{FF2B5EF4-FFF2-40B4-BE49-F238E27FC236}">
                  <a16:creationId xmlns:a16="http://schemas.microsoft.com/office/drawing/2014/main" id="{7B58B45A-F225-477B-872A-6E344A5AEFA4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148147" y="3121852"/>
              <a:ext cx="0" cy="1428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40" name="Line 31">
              <a:extLst>
                <a:ext uri="{FF2B5EF4-FFF2-40B4-BE49-F238E27FC236}">
                  <a16:creationId xmlns:a16="http://schemas.microsoft.com/office/drawing/2014/main" id="{384DA46D-B1FF-465A-96D2-B2DA8E19C43F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148147" y="2177535"/>
              <a:ext cx="0" cy="1428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6" name="Text Box 32">
              <a:extLst>
                <a:ext uri="{FF2B5EF4-FFF2-40B4-BE49-F238E27FC236}">
                  <a16:creationId xmlns:a16="http://schemas.microsoft.com/office/drawing/2014/main" id="{A13B6924-A5EE-42D4-82D0-310A293625B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9559" y="2609555"/>
              <a:ext cx="195580" cy="17171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it-IT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</a:p>
          </xdr:txBody>
        </xdr:sp>
        <xdr:sp macro="" textlink="">
          <xdr:nvSpPr>
            <xdr:cNvPr id="9442" name="Line 33">
              <a:extLst>
                <a:ext uri="{FF2B5EF4-FFF2-40B4-BE49-F238E27FC236}">
                  <a16:creationId xmlns:a16="http://schemas.microsoft.com/office/drawing/2014/main" id="{01329F98-DE40-457E-9D47-EA597612D67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49376" y="3117090"/>
              <a:ext cx="351888" cy="0"/>
            </a:xfrm>
            <a:prstGeom prst="line">
              <a:avLst/>
            </a:prstGeom>
            <a:noFill/>
            <a:ln w="381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8" name="Text Box 34">
              <a:extLst>
                <a:ext uri="{FF2B5EF4-FFF2-40B4-BE49-F238E27FC236}">
                  <a16:creationId xmlns:a16="http://schemas.microsoft.com/office/drawing/2014/main" id="{77F47F0A-C81B-4046-B393-B0CABE450C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48436" y="2926321"/>
              <a:ext cx="211471" cy="1717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it-IT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As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B45"/>
  <sheetViews>
    <sheetView showGridLines="0" tabSelected="1" zoomScale="115" zoomScaleNormal="115" zoomScaleSheetLayoutView="100" workbookViewId="0">
      <pane ySplit="5" topLeftCell="A16" activePane="bottomLeft" state="frozen"/>
      <selection pane="bottomLeft" activeCell="P40" sqref="P40"/>
    </sheetView>
  </sheetViews>
  <sheetFormatPr defaultColWidth="9.140625" defaultRowHeight="12.75"/>
  <cols>
    <col min="1" max="2" width="1.42578125" style="49" customWidth="1"/>
    <col min="3" max="3" width="31.5703125" style="49" customWidth="1"/>
    <col min="4" max="4" width="7.5703125" style="50" customWidth="1"/>
    <col min="5" max="5" width="8.28515625" style="51" customWidth="1"/>
    <col min="6" max="6" width="8.42578125" style="51" customWidth="1"/>
    <col min="7" max="7" width="8.85546875" style="51" customWidth="1"/>
    <col min="8" max="8" width="8.28515625" style="51" customWidth="1"/>
    <col min="9" max="9" width="11" style="51" customWidth="1"/>
    <col min="10" max="11" width="1.42578125" style="49" customWidth="1"/>
    <col min="12" max="12" width="6.5703125" style="51" customWidth="1"/>
    <col min="13" max="14" width="13.7109375" style="51" customWidth="1"/>
    <col min="15" max="15" width="5.5703125" style="51" customWidth="1"/>
    <col min="16" max="16" width="5.28515625" style="51" customWidth="1"/>
    <col min="17" max="17" width="6.140625" style="51" customWidth="1"/>
    <col min="18" max="18" width="8.85546875" style="51" customWidth="1"/>
    <col min="19" max="19" width="5.28515625" style="51" customWidth="1"/>
    <col min="20" max="20" width="6.140625" style="51" customWidth="1"/>
    <col min="21" max="24" width="9.140625" style="51"/>
    <col min="25" max="16384" width="9.140625" style="49"/>
  </cols>
  <sheetData>
    <row r="1" spans="1:15" s="49" customFormat="1">
      <c r="A1" s="60"/>
      <c r="B1" s="61"/>
      <c r="C1" s="92" t="s">
        <v>96</v>
      </c>
      <c r="D1" s="62"/>
      <c r="E1" s="63"/>
      <c r="F1" s="63"/>
      <c r="G1" s="63"/>
      <c r="H1" s="64"/>
      <c r="I1" s="65"/>
      <c r="J1" s="66"/>
      <c r="L1" s="67" t="s">
        <v>88</v>
      </c>
      <c r="M1" s="68" t="s">
        <v>89</v>
      </c>
      <c r="N1" s="68" t="s">
        <v>90</v>
      </c>
      <c r="O1" s="68" t="s">
        <v>91</v>
      </c>
    </row>
    <row r="2" spans="1:15" s="49" customFormat="1">
      <c r="A2" s="60"/>
      <c r="B2" s="61"/>
      <c r="C2" s="93"/>
      <c r="D2" s="69"/>
      <c r="E2" s="70"/>
      <c r="F2" s="71"/>
      <c r="G2" s="71"/>
      <c r="H2" s="72"/>
      <c r="I2" s="65"/>
      <c r="J2" s="66"/>
      <c r="L2" s="67" t="s">
        <v>92</v>
      </c>
      <c r="M2" s="73">
        <v>44348</v>
      </c>
      <c r="N2" s="74"/>
      <c r="O2" s="75"/>
    </row>
    <row r="3" spans="1:15" s="49" customFormat="1">
      <c r="A3" s="60"/>
      <c r="B3" s="61"/>
      <c r="C3" s="93"/>
      <c r="D3" s="69"/>
      <c r="E3" s="70"/>
      <c r="F3" s="71"/>
      <c r="G3" s="71"/>
      <c r="H3" s="72"/>
      <c r="I3" s="65"/>
      <c r="J3" s="66"/>
      <c r="L3" s="67" t="s">
        <v>93</v>
      </c>
      <c r="M3" s="76" t="s">
        <v>94</v>
      </c>
      <c r="N3" s="77"/>
      <c r="O3" s="78"/>
    </row>
    <row r="4" spans="1:15" s="49" customFormat="1">
      <c r="A4" s="60"/>
      <c r="B4" s="61"/>
      <c r="C4" s="94"/>
      <c r="D4" s="79"/>
      <c r="E4" s="80"/>
      <c r="F4" s="80"/>
      <c r="G4" s="80"/>
      <c r="H4" s="81"/>
      <c r="I4" s="65"/>
      <c r="J4" s="66"/>
      <c r="L4" s="67" t="s">
        <v>95</v>
      </c>
      <c r="M4" s="82"/>
      <c r="N4" s="83"/>
      <c r="O4" s="84"/>
    </row>
    <row r="5" spans="1:15" s="49" customFormat="1" ht="5.25" customHeight="1">
      <c r="A5" s="85"/>
      <c r="B5" s="86"/>
      <c r="C5" s="86"/>
      <c r="D5" s="86"/>
      <c r="E5" s="86"/>
      <c r="F5" s="86"/>
      <c r="G5" s="86"/>
      <c r="H5" s="86"/>
      <c r="I5" s="87"/>
      <c r="J5" s="88"/>
    </row>
    <row r="6" spans="1:15" ht="6" customHeight="1">
      <c r="A6" s="4"/>
      <c r="B6" s="4"/>
      <c r="C6" s="4"/>
      <c r="D6" s="12"/>
      <c r="E6" s="11"/>
      <c r="F6" s="11"/>
      <c r="G6" s="11"/>
      <c r="H6" s="11"/>
      <c r="I6" s="11"/>
      <c r="J6" s="4"/>
      <c r="K6" s="4"/>
    </row>
    <row r="7" spans="1:15" ht="6" customHeight="1">
      <c r="A7" s="4"/>
      <c r="B7" s="25"/>
      <c r="C7" s="26"/>
      <c r="D7" s="27"/>
      <c r="E7" s="28"/>
      <c r="F7" s="28"/>
      <c r="G7" s="28"/>
      <c r="H7" s="28"/>
      <c r="I7" s="28"/>
      <c r="J7" s="29"/>
      <c r="K7" s="4"/>
    </row>
    <row r="8" spans="1:15" ht="14.1" customHeight="1">
      <c r="A8" s="4"/>
      <c r="B8" s="30"/>
      <c r="C8" s="21" t="s">
        <v>19</v>
      </c>
      <c r="D8" s="22"/>
      <c r="E8" s="23"/>
      <c r="F8" s="23"/>
      <c r="G8" s="23"/>
      <c r="H8" s="23"/>
      <c r="I8" s="24" t="s">
        <v>69</v>
      </c>
      <c r="J8" s="31"/>
      <c r="K8" s="33"/>
      <c r="M8" s="102" t="s">
        <v>75</v>
      </c>
      <c r="N8" s="103"/>
    </row>
    <row r="9" spans="1:15" ht="14.1" customHeight="1">
      <c r="A9" s="4"/>
      <c r="B9" s="30"/>
      <c r="C9" s="4"/>
      <c r="D9" s="32"/>
      <c r="E9" s="32"/>
      <c r="F9" s="32"/>
      <c r="G9" s="32"/>
      <c r="H9" s="32"/>
      <c r="I9" s="32"/>
      <c r="J9" s="31"/>
      <c r="K9" s="33"/>
      <c r="M9" s="104"/>
      <c r="N9" s="105"/>
    </row>
    <row r="10" spans="1:15" ht="14.1" customHeight="1">
      <c r="A10" s="4"/>
      <c r="B10" s="30"/>
      <c r="C10" s="33" t="s">
        <v>14</v>
      </c>
      <c r="D10" s="12"/>
      <c r="E10" s="11"/>
      <c r="F10" s="11"/>
      <c r="G10" s="11"/>
      <c r="H10" s="32"/>
      <c r="I10" s="32"/>
      <c r="J10" s="34"/>
      <c r="K10" s="4"/>
    </row>
    <row r="11" spans="1:15" ht="14.1" customHeight="1">
      <c r="A11" s="4"/>
      <c r="B11" s="30"/>
      <c r="C11" s="4" t="s">
        <v>20</v>
      </c>
      <c r="D11" s="12" t="s">
        <v>79</v>
      </c>
      <c r="E11" s="11"/>
      <c r="F11" s="11"/>
      <c r="G11" s="11"/>
      <c r="H11" s="35" t="s">
        <v>13</v>
      </c>
      <c r="I11" s="36">
        <v>0</v>
      </c>
      <c r="J11" s="34"/>
      <c r="K11" s="4"/>
    </row>
    <row r="12" spans="1:15" ht="14.1" customHeight="1">
      <c r="A12" s="4"/>
      <c r="B12" s="30"/>
      <c r="C12" s="4" t="s">
        <v>78</v>
      </c>
      <c r="D12" s="12" t="s">
        <v>80</v>
      </c>
      <c r="E12" s="11"/>
      <c r="F12" s="11"/>
      <c r="G12" s="11"/>
      <c r="H12" s="35" t="s">
        <v>13</v>
      </c>
      <c r="I12" s="36">
        <v>0</v>
      </c>
      <c r="J12" s="34"/>
      <c r="K12" s="4"/>
    </row>
    <row r="13" spans="1:15" ht="14.1" customHeight="1">
      <c r="A13" s="4"/>
      <c r="B13" s="30"/>
      <c r="C13" s="4"/>
      <c r="D13" s="12"/>
      <c r="E13" s="11"/>
      <c r="F13" s="11"/>
      <c r="G13" s="11"/>
      <c r="H13" s="35"/>
      <c r="I13" s="37"/>
      <c r="J13" s="34"/>
      <c r="K13" s="4"/>
      <c r="M13" s="98" t="s">
        <v>74</v>
      </c>
      <c r="N13" s="99"/>
    </row>
    <row r="14" spans="1:15" ht="14.1" customHeight="1">
      <c r="A14" s="4"/>
      <c r="B14" s="30"/>
      <c r="C14" s="33" t="s">
        <v>15</v>
      </c>
      <c r="D14" s="12"/>
      <c r="E14" s="11"/>
      <c r="F14" s="11"/>
      <c r="G14" s="11"/>
      <c r="H14" s="11"/>
      <c r="I14" s="11"/>
      <c r="J14" s="34"/>
      <c r="K14" s="4"/>
      <c r="M14" s="100"/>
      <c r="N14" s="101"/>
    </row>
    <row r="15" spans="1:15" ht="14.1" customHeight="1">
      <c r="A15" s="4"/>
      <c r="B15" s="30"/>
      <c r="C15" s="38" t="s">
        <v>16</v>
      </c>
      <c r="D15" s="12"/>
      <c r="E15" s="11"/>
      <c r="F15" s="11"/>
      <c r="G15" s="11"/>
      <c r="H15" s="11"/>
      <c r="I15" s="36" t="s">
        <v>100</v>
      </c>
      <c r="J15" s="34"/>
      <c r="K15" s="4"/>
    </row>
    <row r="16" spans="1:15" ht="16.5" customHeight="1">
      <c r="A16" s="4"/>
      <c r="B16" s="30"/>
      <c r="C16" s="4" t="s">
        <v>43</v>
      </c>
      <c r="D16" s="12" t="s">
        <v>50</v>
      </c>
      <c r="E16" s="11"/>
      <c r="F16" s="11"/>
      <c r="G16" s="11"/>
      <c r="H16" s="11" t="s">
        <v>11</v>
      </c>
      <c r="I16" s="37">
        <f>VLOOKUP(I15,tbl_cls,3)</f>
        <v>40</v>
      </c>
      <c r="J16" s="34"/>
      <c r="K16" s="4"/>
    </row>
    <row r="17" spans="1:24" ht="15.75" customHeight="1">
      <c r="A17" s="4"/>
      <c r="B17" s="30"/>
      <c r="C17" s="4" t="s">
        <v>44</v>
      </c>
      <c r="D17" s="12" t="s">
        <v>51</v>
      </c>
      <c r="E17" s="11"/>
      <c r="F17" s="11"/>
      <c r="G17" s="11"/>
      <c r="H17" s="11" t="s">
        <v>11</v>
      </c>
      <c r="I17" s="37">
        <f>VLOOKUP(I15,tbl_cls,2)</f>
        <v>32</v>
      </c>
      <c r="J17" s="34"/>
      <c r="K17" s="4"/>
    </row>
    <row r="18" spans="1:24" ht="14.1" customHeight="1">
      <c r="A18" s="4"/>
      <c r="B18" s="30"/>
      <c r="C18" s="4" t="s">
        <v>45</v>
      </c>
      <c r="D18" s="12" t="s">
        <v>66</v>
      </c>
      <c r="E18" s="11"/>
      <c r="F18" s="11"/>
      <c r="G18" s="11"/>
      <c r="H18" s="11" t="s">
        <v>61</v>
      </c>
      <c r="I18" s="37">
        <v>1.5</v>
      </c>
      <c r="J18" s="34"/>
      <c r="K18" s="4"/>
      <c r="M18" s="52"/>
    </row>
    <row r="19" spans="1:24" ht="14.1" customHeight="1">
      <c r="A19" s="4"/>
      <c r="B19" s="30"/>
      <c r="C19" s="4" t="s">
        <v>84</v>
      </c>
      <c r="D19" s="12" t="s">
        <v>85</v>
      </c>
      <c r="E19" s="11"/>
      <c r="F19" s="11"/>
      <c r="G19" s="11"/>
      <c r="H19" s="11" t="s">
        <v>11</v>
      </c>
      <c r="I19" s="58">
        <f>fck*0.85/gammaC</f>
        <v>18.133333333333333</v>
      </c>
      <c r="J19" s="34"/>
      <c r="K19" s="4"/>
      <c r="M19" s="52"/>
    </row>
    <row r="20" spans="1:24" ht="14.1" customHeight="1">
      <c r="A20" s="4"/>
      <c r="B20" s="30"/>
      <c r="C20" s="4"/>
      <c r="D20" s="12"/>
      <c r="E20" s="11"/>
      <c r="F20" s="11"/>
      <c r="G20" s="11"/>
      <c r="H20" s="11"/>
      <c r="I20" s="11"/>
      <c r="J20" s="34"/>
      <c r="K20" s="4"/>
    </row>
    <row r="21" spans="1:24" ht="14.1" customHeight="1">
      <c r="A21" s="4"/>
      <c r="B21" s="30"/>
      <c r="C21" s="33" t="s">
        <v>17</v>
      </c>
      <c r="D21" s="12"/>
      <c r="E21" s="11"/>
      <c r="F21" s="11"/>
      <c r="G21" s="11"/>
      <c r="H21" s="11"/>
      <c r="I21" s="11"/>
      <c r="J21" s="34"/>
      <c r="K21" s="4"/>
    </row>
    <row r="22" spans="1:24" ht="14.1" customHeight="1">
      <c r="A22" s="4"/>
      <c r="B22" s="30"/>
      <c r="C22" s="4" t="s">
        <v>46</v>
      </c>
      <c r="D22" s="39" t="s">
        <v>52</v>
      </c>
      <c r="E22" s="35"/>
      <c r="F22" s="35"/>
      <c r="G22" s="35"/>
      <c r="H22" s="35" t="s">
        <v>3</v>
      </c>
      <c r="I22" s="36">
        <v>1000</v>
      </c>
      <c r="J22" s="34"/>
      <c r="K22" s="4"/>
    </row>
    <row r="23" spans="1:24" ht="14.1" customHeight="1">
      <c r="A23" s="4"/>
      <c r="B23" s="30"/>
      <c r="C23" s="4" t="s">
        <v>48</v>
      </c>
      <c r="D23" s="39" t="s">
        <v>47</v>
      </c>
      <c r="E23" s="35"/>
      <c r="F23" s="35"/>
      <c r="G23" s="35"/>
      <c r="H23" s="35" t="s">
        <v>3</v>
      </c>
      <c r="I23" s="36">
        <v>1200</v>
      </c>
      <c r="J23" s="34"/>
      <c r="K23" s="4"/>
    </row>
    <row r="24" spans="1:24" ht="14.1" customHeight="1">
      <c r="A24" s="4"/>
      <c r="B24" s="30"/>
      <c r="C24" s="4" t="s">
        <v>49</v>
      </c>
      <c r="D24" s="39" t="s">
        <v>53</v>
      </c>
      <c r="E24" s="35"/>
      <c r="F24" s="35"/>
      <c r="G24" s="35"/>
      <c r="H24" s="35" t="s">
        <v>3</v>
      </c>
      <c r="I24" s="36">
        <v>1130</v>
      </c>
      <c r="J24" s="34"/>
      <c r="K24" s="4"/>
    </row>
    <row r="25" spans="1:24" ht="14.1" customHeight="1">
      <c r="A25" s="4"/>
      <c r="B25" s="30"/>
      <c r="C25" s="4"/>
      <c r="D25" s="39"/>
      <c r="E25" s="35"/>
      <c r="F25" s="35"/>
      <c r="G25" s="35"/>
      <c r="H25" s="35"/>
      <c r="I25" s="35"/>
      <c r="J25" s="34"/>
      <c r="K25" s="4"/>
    </row>
    <row r="26" spans="1:24" ht="14.1" customHeight="1">
      <c r="A26" s="4"/>
      <c r="B26" s="30"/>
      <c r="C26" s="4"/>
      <c r="D26" s="39"/>
      <c r="E26" s="4"/>
      <c r="F26" s="4"/>
      <c r="G26" s="4"/>
      <c r="H26" s="4"/>
      <c r="I26" s="4"/>
      <c r="J26" s="34"/>
      <c r="K26" s="4"/>
    </row>
    <row r="27" spans="1:24" ht="14.1" customHeight="1">
      <c r="A27" s="4"/>
      <c r="B27" s="30"/>
      <c r="C27" s="4"/>
      <c r="D27" s="106" t="s">
        <v>0</v>
      </c>
      <c r="E27" s="107"/>
      <c r="F27" s="108"/>
      <c r="G27" s="106" t="s">
        <v>1</v>
      </c>
      <c r="H27" s="107"/>
      <c r="I27" s="108"/>
      <c r="J27" s="34"/>
      <c r="K27" s="4"/>
      <c r="M27" s="109" t="s">
        <v>71</v>
      </c>
      <c r="N27" s="110"/>
      <c r="O27" s="111"/>
    </row>
    <row r="28" spans="1:24" ht="14.1" customHeight="1">
      <c r="A28" s="4"/>
      <c r="B28" s="30"/>
      <c r="C28" s="4"/>
      <c r="D28" s="13" t="s">
        <v>12</v>
      </c>
      <c r="E28" s="40">
        <v>5</v>
      </c>
      <c r="F28" s="16"/>
      <c r="G28" s="17" t="s">
        <v>12</v>
      </c>
      <c r="H28" s="40">
        <v>0</v>
      </c>
      <c r="I28" s="17"/>
      <c r="J28" s="34"/>
      <c r="K28" s="4"/>
      <c r="M28" s="112"/>
      <c r="N28" s="113"/>
      <c r="O28" s="114"/>
    </row>
    <row r="29" spans="1:24" ht="14.1" customHeight="1">
      <c r="A29" s="4"/>
      <c r="B29" s="30"/>
      <c r="C29" s="4"/>
      <c r="D29" s="14" t="s">
        <v>67</v>
      </c>
      <c r="E29" s="36">
        <v>20</v>
      </c>
      <c r="F29" s="18" t="s">
        <v>3</v>
      </c>
      <c r="G29" s="14" t="s">
        <v>67</v>
      </c>
      <c r="H29" s="36">
        <v>8</v>
      </c>
      <c r="I29" s="19" t="s">
        <v>3</v>
      </c>
      <c r="J29" s="34"/>
      <c r="K29" s="4"/>
      <c r="M29" s="112"/>
      <c r="N29" s="113"/>
      <c r="O29" s="114"/>
    </row>
    <row r="30" spans="1:24" ht="14.1" customHeight="1">
      <c r="A30" s="4"/>
      <c r="B30" s="30"/>
      <c r="C30" s="4"/>
      <c r="D30" s="15" t="s">
        <v>41</v>
      </c>
      <c r="E30" s="15">
        <f>IF(AND(E29&gt;0,E28&gt;0),VLOOKUP(E29,[0]!tab_tondi,IF(OR($P$34="S",$P$34="s"),3,2))*E28,0)</f>
        <v>1571</v>
      </c>
      <c r="F30" s="20" t="s">
        <v>10</v>
      </c>
      <c r="G30" s="15" t="s">
        <v>42</v>
      </c>
      <c r="H30" s="15">
        <f>IF(AND(H29&gt;0,H28&gt;0),VLOOKUP(H29,[0]!tab_tondi,IF(OR($P$34="S",$P$34="s"),3,2))*H28,0)</f>
        <v>0</v>
      </c>
      <c r="I30" s="15" t="s">
        <v>10</v>
      </c>
      <c r="J30" s="34"/>
      <c r="K30" s="4"/>
      <c r="M30" s="115"/>
      <c r="N30" s="116"/>
      <c r="O30" s="117"/>
    </row>
    <row r="31" spans="1:24" ht="14.1" customHeight="1">
      <c r="A31" s="4"/>
      <c r="B31" s="30"/>
      <c r="C31" s="4"/>
      <c r="D31" s="39"/>
      <c r="E31" s="35"/>
      <c r="F31" s="35"/>
      <c r="G31" s="35"/>
      <c r="H31" s="35"/>
      <c r="I31" s="35"/>
      <c r="J31" s="34"/>
      <c r="K31" s="4"/>
    </row>
    <row r="32" spans="1:24" ht="14.1" customHeight="1">
      <c r="A32" s="4"/>
      <c r="B32" s="30"/>
      <c r="C32" s="4"/>
      <c r="D32" s="39"/>
      <c r="E32" s="35"/>
      <c r="F32" s="35"/>
      <c r="G32" s="35"/>
      <c r="H32" s="35"/>
      <c r="I32" s="35"/>
      <c r="J32" s="34"/>
      <c r="K32" s="4"/>
      <c r="N32" s="54"/>
      <c r="O32" s="54"/>
      <c r="Q32" s="49"/>
      <c r="R32" s="49"/>
      <c r="S32" s="49"/>
      <c r="T32" s="49"/>
      <c r="U32" s="49"/>
      <c r="V32" s="49"/>
      <c r="W32" s="49"/>
      <c r="X32" s="49"/>
    </row>
    <row r="33" spans="1:28" ht="14.1" customHeight="1">
      <c r="A33" s="4"/>
      <c r="B33" s="30"/>
      <c r="C33" s="4"/>
      <c r="D33" s="39"/>
      <c r="E33" s="35"/>
      <c r="F33" s="35"/>
      <c r="G33" s="35"/>
      <c r="H33" s="35"/>
      <c r="I33" s="35"/>
      <c r="J33" s="34"/>
      <c r="K33" s="4"/>
      <c r="N33" s="54"/>
      <c r="O33" s="54"/>
      <c r="Q33" s="49"/>
      <c r="R33" s="49"/>
      <c r="S33" s="49"/>
      <c r="T33" s="49"/>
      <c r="U33" s="49"/>
      <c r="V33" s="49"/>
      <c r="W33" s="49"/>
      <c r="X33" s="49"/>
    </row>
    <row r="34" spans="1:28" ht="14.1" customHeight="1">
      <c r="A34" s="4"/>
      <c r="B34" s="30"/>
      <c r="C34" s="4" t="s">
        <v>54</v>
      </c>
      <c r="D34" s="39" t="s">
        <v>77</v>
      </c>
      <c r="E34" s="89" t="s">
        <v>70</v>
      </c>
      <c r="F34" s="89"/>
      <c r="G34" s="89"/>
      <c r="H34" s="11" t="s">
        <v>10</v>
      </c>
      <c r="I34" s="35">
        <f>(E30+H30)</f>
        <v>1571</v>
      </c>
      <c r="J34" s="34"/>
      <c r="K34" s="4"/>
      <c r="M34" s="118" t="s">
        <v>2</v>
      </c>
      <c r="N34" s="119"/>
      <c r="O34" s="120"/>
      <c r="P34" s="53" t="s">
        <v>73</v>
      </c>
      <c r="Q34" s="95" t="s">
        <v>72</v>
      </c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7"/>
    </row>
    <row r="35" spans="1:28" ht="14.1" customHeight="1">
      <c r="A35" s="4"/>
      <c r="B35" s="30"/>
      <c r="C35" s="4" t="s">
        <v>55</v>
      </c>
      <c r="D35" s="39" t="s">
        <v>63</v>
      </c>
      <c r="E35" s="89" t="s">
        <v>60</v>
      </c>
      <c r="F35" s="89"/>
      <c r="G35" s="89"/>
      <c r="H35" s="35" t="s">
        <v>61</v>
      </c>
      <c r="I35" s="41">
        <f>IF(As_sup/B/d&lt;0.02,As_sup/B/d,"ATTENZIONE PERC. &gt; 2%")</f>
        <v>1.3902654867256636E-3</v>
      </c>
      <c r="J35" s="34"/>
      <c r="K35" s="4"/>
      <c r="L35" s="52"/>
      <c r="M35" s="52"/>
      <c r="N35" s="52"/>
      <c r="O35" s="52"/>
      <c r="P35" s="52"/>
      <c r="Q35" s="52"/>
      <c r="R35" s="52"/>
      <c r="S35" s="52"/>
    </row>
    <row r="36" spans="1:28" ht="14.1" customHeight="1">
      <c r="A36" s="4"/>
      <c r="B36" s="30"/>
      <c r="C36" s="4" t="s">
        <v>56</v>
      </c>
      <c r="D36" s="39" t="s">
        <v>57</v>
      </c>
      <c r="E36" s="89" t="s">
        <v>99</v>
      </c>
      <c r="F36" s="89"/>
      <c r="G36" s="89"/>
      <c r="H36" s="35" t="s">
        <v>61</v>
      </c>
      <c r="I36" s="42">
        <f xml:space="preserve"> MIN(2,(1+(200/d)^0.5))</f>
        <v>1.4207031619116712</v>
      </c>
      <c r="J36" s="34"/>
      <c r="K36" s="4"/>
      <c r="L36" s="52"/>
      <c r="M36" s="52"/>
      <c r="N36" s="52"/>
      <c r="O36" s="52"/>
      <c r="P36" s="52"/>
      <c r="Q36" s="52"/>
      <c r="R36" s="52"/>
      <c r="S36" s="52"/>
    </row>
    <row r="37" spans="1:28" ht="14.1" customHeight="1">
      <c r="A37" s="4"/>
      <c r="B37" s="30"/>
      <c r="C37" s="4" t="s">
        <v>81</v>
      </c>
      <c r="D37" s="57" t="s">
        <v>82</v>
      </c>
      <c r="E37" s="91" t="s">
        <v>83</v>
      </c>
      <c r="F37" s="91"/>
      <c r="G37" s="91"/>
      <c r="H37" s="35" t="s">
        <v>11</v>
      </c>
      <c r="I37" s="59">
        <f>IF(NSd*1000/(B*H)&lt;=0.2*fcd,NSd*1000/(B*H),0.02*fcd)</f>
        <v>0</v>
      </c>
      <c r="J37" s="34"/>
      <c r="K37" s="4"/>
      <c r="L37" s="52"/>
      <c r="M37" s="52"/>
      <c r="N37" s="52"/>
      <c r="O37" s="52"/>
      <c r="P37" s="52"/>
      <c r="Q37" s="52"/>
      <c r="R37" s="52"/>
      <c r="S37" s="52"/>
    </row>
    <row r="38" spans="1:28" ht="14.1" customHeight="1">
      <c r="A38" s="4"/>
      <c r="B38" s="30"/>
      <c r="C38" s="4" t="s">
        <v>58</v>
      </c>
      <c r="D38" s="39" t="s">
        <v>68</v>
      </c>
      <c r="E38" s="89" t="s">
        <v>98</v>
      </c>
      <c r="F38" s="89"/>
      <c r="G38" s="89"/>
      <c r="H38" s="35" t="s">
        <v>11</v>
      </c>
      <c r="I38" s="59">
        <f>0.035*k^1.5*fck^0.5</f>
        <v>0.33527259358380629</v>
      </c>
      <c r="J38" s="34"/>
      <c r="K38" s="4"/>
      <c r="L38" s="52"/>
      <c r="M38" s="52"/>
      <c r="N38" s="52"/>
      <c r="O38" s="52"/>
      <c r="P38" s="52"/>
      <c r="Q38" s="52"/>
      <c r="R38" s="52"/>
      <c r="S38" s="52"/>
    </row>
    <row r="39" spans="1:28" ht="14.1" customHeight="1">
      <c r="A39" s="4"/>
      <c r="B39" s="30"/>
      <c r="C39" s="4"/>
      <c r="D39" s="39"/>
      <c r="E39" s="35"/>
      <c r="F39" s="35"/>
      <c r="G39" s="35"/>
      <c r="H39" s="35"/>
      <c r="I39" s="35"/>
      <c r="J39" s="43"/>
      <c r="K39" s="55"/>
      <c r="L39" s="52"/>
      <c r="M39" s="52"/>
    </row>
    <row r="40" spans="1:28" ht="14.1" customHeight="1">
      <c r="A40" s="4"/>
      <c r="B40" s="30"/>
      <c r="C40" s="56" t="s">
        <v>62</v>
      </c>
      <c r="D40" s="39" t="s">
        <v>64</v>
      </c>
      <c r="E40" s="89" t="s">
        <v>65</v>
      </c>
      <c r="F40" s="89"/>
      <c r="G40" s="89"/>
      <c r="H40" s="35" t="s">
        <v>13</v>
      </c>
      <c r="I40" s="42">
        <f>MAX((0.18*k*(100*_ro1*fck)^(1/3)/gammaC+0.15*I37)*B*d/1000,(v_min+0.15*I37)*B*d/1000)</f>
        <v>378.85803074970107</v>
      </c>
      <c r="J40" s="34"/>
      <c r="K40" s="4"/>
    </row>
    <row r="41" spans="1:28" ht="14.1" customHeight="1">
      <c r="A41" s="4"/>
      <c r="B41" s="30"/>
      <c r="C41" s="44" t="s">
        <v>18</v>
      </c>
      <c r="D41" s="39" t="s">
        <v>86</v>
      </c>
      <c r="E41" s="89" t="s">
        <v>87</v>
      </c>
      <c r="F41" s="89"/>
      <c r="G41" s="89"/>
      <c r="H41" s="35" t="s">
        <v>11</v>
      </c>
      <c r="I41" s="59">
        <f>VRD*1000/B/H</f>
        <v>0.3157150256247509</v>
      </c>
      <c r="J41" s="34"/>
      <c r="K41" s="4"/>
      <c r="L41" s="52"/>
      <c r="M41" s="52"/>
      <c r="Z41" s="52"/>
    </row>
    <row r="42" spans="1:28" ht="14.1" customHeight="1">
      <c r="A42" s="4"/>
      <c r="B42" s="30"/>
      <c r="C42" s="4"/>
      <c r="D42" s="12"/>
      <c r="E42" s="89"/>
      <c r="F42" s="89"/>
      <c r="G42" s="89"/>
      <c r="H42" s="11"/>
      <c r="I42" s="11"/>
      <c r="J42" s="43"/>
      <c r="K42" s="55"/>
      <c r="L42" s="52"/>
    </row>
    <row r="43" spans="1:28" ht="14.1" customHeight="1">
      <c r="A43" s="4"/>
      <c r="B43" s="30"/>
      <c r="C43" s="38" t="s">
        <v>59</v>
      </c>
      <c r="D43" s="12"/>
      <c r="E43" s="89" t="s">
        <v>76</v>
      </c>
      <c r="F43" s="89"/>
      <c r="G43" s="89"/>
      <c r="H43" s="90">
        <f>Vsd/VRD</f>
        <v>0</v>
      </c>
      <c r="I43" s="90"/>
      <c r="J43" s="43"/>
      <c r="K43" s="55"/>
      <c r="M43" s="52"/>
      <c r="N43" s="52"/>
      <c r="O43" s="52"/>
      <c r="P43" s="52"/>
      <c r="Q43" s="52"/>
    </row>
    <row r="44" spans="1:28" ht="6" customHeight="1">
      <c r="A44" s="4"/>
      <c r="B44" s="45"/>
      <c r="C44" s="22"/>
      <c r="D44" s="46"/>
      <c r="E44" s="47"/>
      <c r="F44" s="47"/>
      <c r="G44" s="47"/>
      <c r="H44" s="47"/>
      <c r="I44" s="47"/>
      <c r="J44" s="48"/>
      <c r="K44" s="4"/>
    </row>
    <row r="45" spans="1:28" ht="6" customHeight="1">
      <c r="A45" s="4"/>
      <c r="B45" s="4"/>
      <c r="C45" s="4"/>
      <c r="D45" s="12"/>
      <c r="E45" s="11"/>
      <c r="F45" s="11"/>
      <c r="G45" s="11"/>
      <c r="H45" s="11"/>
      <c r="I45" s="11"/>
      <c r="J45" s="4"/>
      <c r="K45" s="4"/>
    </row>
  </sheetData>
  <sheetProtection algorithmName="SHA-512" hashValue="ntAQKo2JtFKGNVmRq/0eRSgkZuPlAQUU9HdFUQ9c68rc2kyhpH7yx58gsO9MxxvfxxAKCXPLjYVR+2lU/z9jUg==" saltValue="KYMlbNcvyqojfpPEou2mpA==" spinCount="100000" sheet="1" objects="1" scenarios="1"/>
  <protectedRanges>
    <protectedRange sqref="I11:I12 I15 I22:I24 H28:H29 E28:E29 P34" name="Intervallo1"/>
  </protectedRanges>
  <customSheetViews>
    <customSheetView guid="{5A1BFFBE-8420-40F7-B1BA-79530D413C95}" showPageBreaks="1" showGridLines="0" printArea="1" hiddenRows="1" showRuler="0" topLeftCell="D1">
      <selection activeCell="T49" sqref="T49"/>
      <pageMargins left="0.78740157480314965" right="0.44" top="0.19685039370078741" bottom="0.19685039370078741" header="0.51181102362204722" footer="0.51181102362204722"/>
      <pageSetup paperSize="9" scale="86" orientation="portrait" horizontalDpi="300" verticalDpi="360" r:id="rId1"/>
      <headerFooter alignWithMargins="0">
        <oddHeader>Verifiche.xls</oddHeader>
        <oddFooter>&amp;C&amp;A&amp;R&amp;D</oddFooter>
      </headerFooter>
    </customSheetView>
    <customSheetView guid="{89DD8AD6-2F56-4898-8E89-9615CDD5F574}" showPageBreaks="1" showGridLines="0" printArea="1" hiddenRows="1" showRuler="0">
      <selection sqref="A1:O36"/>
      <pageMargins left="0.78740157480314965" right="0.44" top="0.19685039370078741" bottom="0.19685039370078741" header="0.51181102362204722" footer="0.51181102362204722"/>
      <pageSetup paperSize="9" scale="86" orientation="portrait" horizontalDpi="300" verticalDpi="360" r:id="rId2"/>
      <headerFooter alignWithMargins="0">
        <oddHeader>Verifiche.xls</oddHeader>
        <oddFooter>&amp;C&amp;A&amp;R&amp;D</oddFooter>
      </headerFooter>
    </customSheetView>
    <customSheetView guid="{FBBBFC0E-5CD1-4DE5-9FD7-84084FA09285}" showGridLines="0" printArea="1" hiddenRows="1" showRuler="0">
      <selection activeCell="R3" sqref="R3"/>
      <pageMargins left="0.78740157480314965" right="0.44" top="0.19685039370078741" bottom="0.19685039370078741" header="0.51181102362204722" footer="0.51181102362204722"/>
      <pageSetup paperSize="9" scale="86" orientation="portrait" horizontalDpi="300" verticalDpi="360" r:id="rId3"/>
      <headerFooter alignWithMargins="0">
        <oddHeader>Verifiche.xls</oddHeader>
        <oddFooter>&amp;C&amp;A&amp;R&amp;D</oddFooter>
      </headerFooter>
    </customSheetView>
  </customSheetViews>
  <mergeCells count="18">
    <mergeCell ref="C1:C4"/>
    <mergeCell ref="Q34:AB34"/>
    <mergeCell ref="M13:N14"/>
    <mergeCell ref="M8:N9"/>
    <mergeCell ref="G27:I27"/>
    <mergeCell ref="D27:F27"/>
    <mergeCell ref="M27:O30"/>
    <mergeCell ref="M34:O34"/>
    <mergeCell ref="E43:G43"/>
    <mergeCell ref="H43:I43"/>
    <mergeCell ref="E34:G34"/>
    <mergeCell ref="E38:G38"/>
    <mergeCell ref="E40:G40"/>
    <mergeCell ref="E41:G41"/>
    <mergeCell ref="E42:G42"/>
    <mergeCell ref="E35:G35"/>
    <mergeCell ref="E36:G36"/>
    <mergeCell ref="E37:G37"/>
  </mergeCells>
  <phoneticPr fontId="6" type="noConversion"/>
  <conditionalFormatting sqref="H43">
    <cfRule type="cellIs" dxfId="2" priority="1" operator="between">
      <formula>1</formula>
      <formula>10000000000</formula>
    </cfRule>
    <cfRule type="cellIs" dxfId="1" priority="2" operator="between">
      <formula>0</formula>
      <formula>0.8</formula>
    </cfRule>
    <cfRule type="cellIs" dxfId="0" priority="3" operator="between">
      <formula>0.8</formula>
      <formula>1</formula>
    </cfRule>
  </conditionalFormatting>
  <dataValidations count="2">
    <dataValidation type="list" allowBlank="1" showInputMessage="1" showErrorMessage="1" sqref="I15" xr:uid="{00000000-0002-0000-0000-000000000000}">
      <formula1>tipi_cls</formula1>
    </dataValidation>
    <dataValidation type="list" allowBlank="1" showInputMessage="1" showErrorMessage="1" sqref="P34" xr:uid="{00000000-0002-0000-0000-000001000000}">
      <formula1>"S,N"</formula1>
    </dataValidation>
  </dataValidations>
  <pageMargins left="0.78740157480314965" right="0.44" top="0.19685039370078741" bottom="0.19685039370078741" header="0.51181102362204722" footer="0.51181102362204722"/>
  <pageSetup paperSize="9" scale="86" orientation="portrait" horizontalDpi="300" verticalDpi="360" r:id="rId4"/>
  <headerFooter alignWithMargins="0">
    <oddHeader>Verifiche.xls</oddHeader>
    <oddFooter>&amp;C&amp;A&amp;R&amp;D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I12" sqref="I12"/>
    </sheetView>
  </sheetViews>
  <sheetFormatPr defaultRowHeight="12.75"/>
  <cols>
    <col min="7" max="7" width="38.28515625" customWidth="1"/>
    <col min="8" max="8" width="32.85546875" customWidth="1"/>
    <col min="9" max="9" width="31.5703125" customWidth="1"/>
  </cols>
  <sheetData>
    <row r="1" spans="1:9" ht="24.75" customHeight="1">
      <c r="A1" s="123" t="s">
        <v>4</v>
      </c>
      <c r="B1" s="123"/>
      <c r="C1" s="123"/>
      <c r="D1" s="123"/>
      <c r="G1" s="121" t="s">
        <v>34</v>
      </c>
      <c r="H1" s="5" t="s">
        <v>35</v>
      </c>
      <c r="I1" s="5" t="s">
        <v>36</v>
      </c>
    </row>
    <row r="2" spans="1:9" ht="13.5" thickBot="1">
      <c r="A2" s="1" t="s">
        <v>5</v>
      </c>
      <c r="B2" s="3" t="s">
        <v>6</v>
      </c>
      <c r="C2" t="s">
        <v>7</v>
      </c>
      <c r="G2" s="122"/>
      <c r="H2" s="6" t="s">
        <v>39</v>
      </c>
      <c r="I2" s="6" t="s">
        <v>40</v>
      </c>
    </row>
    <row r="3" spans="1:9" ht="15" thickBot="1">
      <c r="A3" s="2" t="s">
        <v>8</v>
      </c>
      <c r="B3" s="3" t="s">
        <v>9</v>
      </c>
      <c r="C3" s="3" t="s">
        <v>9</v>
      </c>
      <c r="G3" s="7" t="s">
        <v>21</v>
      </c>
      <c r="H3" s="8">
        <v>8</v>
      </c>
      <c r="I3" s="8">
        <v>10</v>
      </c>
    </row>
    <row r="4" spans="1:9" ht="13.5" thickBot="1">
      <c r="A4" s="3">
        <v>4</v>
      </c>
      <c r="B4">
        <v>12.6</v>
      </c>
      <c r="G4" s="9" t="s">
        <v>22</v>
      </c>
      <c r="H4" s="10">
        <v>12</v>
      </c>
      <c r="I4" s="10">
        <v>15</v>
      </c>
    </row>
    <row r="5" spans="1:9" ht="13.5" thickBot="1">
      <c r="A5" s="3">
        <v>6</v>
      </c>
      <c r="B5">
        <v>28.3</v>
      </c>
      <c r="G5" s="7" t="s">
        <v>23</v>
      </c>
      <c r="H5" s="8">
        <v>16</v>
      </c>
      <c r="I5" s="8">
        <v>20</v>
      </c>
    </row>
    <row r="6" spans="1:9" ht="13.5" thickBot="1">
      <c r="A6" s="3">
        <v>8</v>
      </c>
      <c r="B6">
        <v>50.3</v>
      </c>
      <c r="G6" s="9" t="s">
        <v>24</v>
      </c>
      <c r="H6" s="10">
        <v>20</v>
      </c>
      <c r="I6" s="10">
        <v>25</v>
      </c>
    </row>
    <row r="7" spans="1:9" ht="13.5" thickBot="1">
      <c r="A7" s="3">
        <v>10</v>
      </c>
      <c r="B7">
        <v>78.5</v>
      </c>
      <c r="G7" s="7" t="s">
        <v>25</v>
      </c>
      <c r="H7" s="8">
        <v>25</v>
      </c>
      <c r="I7" s="8">
        <v>30</v>
      </c>
    </row>
    <row r="8" spans="1:9" ht="13.5" thickBot="1">
      <c r="A8" s="3">
        <v>12</v>
      </c>
      <c r="B8">
        <v>113.1</v>
      </c>
      <c r="C8">
        <v>84</v>
      </c>
      <c r="G8" s="7" t="s">
        <v>97</v>
      </c>
      <c r="H8" s="8">
        <v>28</v>
      </c>
      <c r="I8" s="8">
        <v>35</v>
      </c>
    </row>
    <row r="9" spans="1:9" ht="13.5" thickBot="1">
      <c r="A9" s="3">
        <v>14</v>
      </c>
      <c r="B9">
        <v>153.9</v>
      </c>
      <c r="C9">
        <v>115</v>
      </c>
      <c r="G9" s="9" t="s">
        <v>100</v>
      </c>
      <c r="H9" s="10">
        <v>32</v>
      </c>
      <c r="I9" s="10">
        <v>40</v>
      </c>
    </row>
    <row r="10" spans="1:9" ht="13.5" thickBot="1">
      <c r="A10" s="3">
        <v>16</v>
      </c>
      <c r="B10">
        <v>201.1</v>
      </c>
      <c r="C10">
        <v>157</v>
      </c>
      <c r="G10" s="7" t="s">
        <v>26</v>
      </c>
      <c r="H10" s="8">
        <v>35</v>
      </c>
      <c r="I10" s="8">
        <v>45</v>
      </c>
    </row>
    <row r="11" spans="1:9" ht="13.5" thickBot="1">
      <c r="A11" s="3">
        <v>18</v>
      </c>
      <c r="B11">
        <v>254.5</v>
      </c>
      <c r="C11">
        <v>192</v>
      </c>
      <c r="G11" s="9" t="s">
        <v>27</v>
      </c>
      <c r="H11" s="10">
        <v>40</v>
      </c>
      <c r="I11" s="10">
        <v>50</v>
      </c>
    </row>
    <row r="12" spans="1:9" ht="13.5" thickBot="1">
      <c r="A12" s="3">
        <v>20</v>
      </c>
      <c r="B12">
        <v>314.2</v>
      </c>
      <c r="C12">
        <v>245</v>
      </c>
      <c r="G12" s="7" t="s">
        <v>28</v>
      </c>
      <c r="H12" s="8">
        <v>45</v>
      </c>
      <c r="I12" s="8">
        <v>55</v>
      </c>
    </row>
    <row r="13" spans="1:9" ht="13.5" thickBot="1">
      <c r="A13" s="3">
        <v>22</v>
      </c>
      <c r="B13">
        <v>380.1</v>
      </c>
      <c r="C13">
        <v>303</v>
      </c>
      <c r="G13" s="9" t="s">
        <v>29</v>
      </c>
      <c r="H13" s="10">
        <v>50</v>
      </c>
      <c r="I13" s="10">
        <v>60</v>
      </c>
    </row>
    <row r="14" spans="1:9" ht="13.5" thickBot="1">
      <c r="A14" s="3">
        <v>24</v>
      </c>
      <c r="B14">
        <v>452.4</v>
      </c>
      <c r="C14">
        <v>353</v>
      </c>
      <c r="G14" s="7" t="s">
        <v>37</v>
      </c>
      <c r="H14" s="8">
        <v>55</v>
      </c>
      <c r="I14" s="8">
        <v>67</v>
      </c>
    </row>
    <row r="15" spans="1:9" ht="13.5" thickBot="1">
      <c r="A15" s="3">
        <v>26</v>
      </c>
      <c r="B15">
        <v>530.9</v>
      </c>
      <c r="G15" s="9" t="s">
        <v>30</v>
      </c>
      <c r="H15" s="10">
        <v>60</v>
      </c>
      <c r="I15" s="10">
        <v>75</v>
      </c>
    </row>
    <row r="16" spans="1:9" ht="13.5" thickBot="1">
      <c r="A16" s="3">
        <v>27</v>
      </c>
      <c r="C16">
        <v>459</v>
      </c>
      <c r="G16" s="7" t="s">
        <v>31</v>
      </c>
      <c r="H16" s="8">
        <v>70</v>
      </c>
      <c r="I16" s="8">
        <v>85</v>
      </c>
    </row>
    <row r="17" spans="1:9" ht="13.5" thickBot="1">
      <c r="A17" s="3">
        <v>28</v>
      </c>
      <c r="B17">
        <v>615.79999999999995</v>
      </c>
      <c r="G17" s="9" t="s">
        <v>32</v>
      </c>
      <c r="H17" s="10">
        <v>80</v>
      </c>
      <c r="I17" s="10">
        <v>95</v>
      </c>
    </row>
    <row r="18" spans="1:9" ht="13.5" thickBot="1">
      <c r="A18" s="3">
        <v>30</v>
      </c>
      <c r="B18">
        <v>706.9</v>
      </c>
      <c r="C18">
        <v>561</v>
      </c>
      <c r="G18" s="7" t="s">
        <v>33</v>
      </c>
      <c r="H18" s="8">
        <v>90</v>
      </c>
      <c r="I18" s="8">
        <v>105</v>
      </c>
    </row>
    <row r="19" spans="1:9" ht="13.5" thickBot="1">
      <c r="A19" s="3">
        <v>32</v>
      </c>
      <c r="G19" s="9" t="s">
        <v>38</v>
      </c>
      <c r="H19" s="10">
        <v>100</v>
      </c>
      <c r="I19" s="10">
        <v>115</v>
      </c>
    </row>
    <row r="20" spans="1:9">
      <c r="A20" s="3">
        <v>34</v>
      </c>
    </row>
    <row r="21" spans="1:9">
      <c r="A21" s="3">
        <v>36</v>
      </c>
      <c r="C21">
        <v>817</v>
      </c>
    </row>
  </sheetData>
  <customSheetViews>
    <customSheetView guid="{5A1BFFBE-8420-40F7-B1BA-79530D413C95}" showPageBreaks="1" showRuler="0">
      <selection activeCell="A35" sqref="A35"/>
      <pageMargins left="0.75" right="0.75" top="1" bottom="1" header="0.5" footer="0.5"/>
      <headerFooter alignWithMargins="0">
        <oddHeader>&amp;A</oddHeader>
        <oddFooter>Pagina &amp;P</oddFooter>
      </headerFooter>
    </customSheetView>
    <customSheetView guid="{89DD8AD6-2F56-4898-8E89-9615CDD5F574}" showRuler="0">
      <selection activeCell="A35" sqref="A35"/>
      <pageMargins left="0.75" right="0.75" top="1" bottom="1" header="0.5" footer="0.5"/>
      <headerFooter alignWithMargins="0">
        <oddHeader>&amp;A</oddHeader>
        <oddFooter>Pagina &amp;P</oddFooter>
      </headerFooter>
    </customSheetView>
    <customSheetView guid="{FBBBFC0E-5CD1-4DE5-9FD7-84084FA09285}" showRuler="0">
      <selection activeCell="A35" sqref="A35"/>
      <pageMargins left="0.75" right="0.75" top="1" bottom="1" header="0.5" footer="0.5"/>
      <headerFooter alignWithMargins="0">
        <oddHeader>&amp;A</oddHeader>
        <oddFooter>Pagina &amp;P</oddFooter>
      </headerFooter>
    </customSheetView>
  </customSheetViews>
  <mergeCells count="2">
    <mergeCell ref="G1:G2"/>
    <mergeCell ref="A1:D1"/>
  </mergeCells>
  <phoneticPr fontId="6" type="noConversion"/>
  <pageMargins left="0.75" right="0.75" top="1" bottom="1" header="0.5" footer="0.5"/>
  <headerFooter alignWithMargins="0">
    <oddHeader>&amp;A</oddHeader>
    <oddFooter>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21</vt:i4>
      </vt:variant>
    </vt:vector>
  </HeadingPairs>
  <TitlesOfParts>
    <vt:vector size="23" baseType="lpstr">
      <vt:lpstr>TRAVE NON ARMATA A TAGLIO</vt:lpstr>
      <vt:lpstr>TONDI</vt:lpstr>
      <vt:lpstr>_ro1</vt:lpstr>
      <vt:lpstr>'TRAVE NON ARMATA A TAGLIO'!Area_stampa</vt:lpstr>
      <vt:lpstr>As_sup</vt:lpstr>
      <vt:lpstr>B</vt:lpstr>
      <vt:lpstr>Celle_sbloccate</vt:lpstr>
      <vt:lpstr>cls</vt:lpstr>
      <vt:lpstr>d</vt:lpstr>
      <vt:lpstr>dw</vt:lpstr>
      <vt:lpstr>fcd</vt:lpstr>
      <vt:lpstr>fck</vt:lpstr>
      <vt:lpstr>gammaC</vt:lpstr>
      <vt:lpstr>H</vt:lpstr>
      <vt:lpstr>k</vt:lpstr>
      <vt:lpstr>NSd</vt:lpstr>
      <vt:lpstr>Rck</vt:lpstr>
      <vt:lpstr>tab_tondi</vt:lpstr>
      <vt:lpstr>tbl_cls</vt:lpstr>
      <vt:lpstr>tipi_cls</vt:lpstr>
      <vt:lpstr>v_min</vt:lpstr>
      <vt:lpstr>VRD</vt:lpstr>
      <vt:lpstr>Vsd</vt:lpstr>
    </vt:vector>
  </TitlesOfParts>
  <Company>Alessandro Mizza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Mizza</dc:creator>
  <cp:lastModifiedBy>Riccardo Romeo</cp:lastModifiedBy>
  <cp:lastPrinted>2013-11-11T17:59:45Z</cp:lastPrinted>
  <dcterms:created xsi:type="dcterms:W3CDTF">1996-08-11T13:08:10Z</dcterms:created>
  <dcterms:modified xsi:type="dcterms:W3CDTF">2026-05-21T14:55:50Z</dcterms:modified>
</cp:coreProperties>
</file>