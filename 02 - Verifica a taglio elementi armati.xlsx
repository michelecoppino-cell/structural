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Questa_cartella_di_lavoro" defaultThemeVersion="124226"/>
  <mc:AlternateContent xmlns:mc="http://schemas.openxmlformats.org/markup-compatibility/2006">
    <mc:Choice Requires="x15">
      <x15ac:absPath xmlns:x15ac="http://schemas.microsoft.com/office/spreadsheetml/2010/11/ac" url="Q:\00-STD\60-STR\6015-CALCOLO\601505 NTC 2018\601505-C  C.A\"/>
    </mc:Choice>
  </mc:AlternateContent>
  <xr:revisionPtr revIDLastSave="0" documentId="13_ncr:1_{74395D22-092B-4532-B216-E74C0CE9EF35}" xr6:coauthVersionLast="47" xr6:coauthVersionMax="47" xr10:uidLastSave="{00000000-0000-0000-0000-000000000000}"/>
  <bookViews>
    <workbookView xWindow="-120" yWindow="-120" windowWidth="29040" windowHeight="15720" tabRatio="734" firstSheet="1" activeTab="1" xr2:uid="{00000000-000D-0000-FFFF-FFFF00000000}"/>
  </bookViews>
  <sheets>
    <sheet name="PROGETTO_STAFFE" sheetId="6" state="hidden" r:id="rId1"/>
    <sheet name="VERIFICA_STAFFE" sheetId="5" r:id="rId2"/>
    <sheet name="PROG_STAFFE ZONE CRITICHE" sheetId="9" state="hidden" r:id="rId3"/>
    <sheet name="DATI CLS" sheetId="10" r:id="rId4"/>
  </sheets>
  <definedNames>
    <definedName name="A_sw">VERIFICA_STAFFE!$G$33</definedName>
    <definedName name="alfa">VERIFICA_STAFFE!$G$35</definedName>
    <definedName name="alfacc">VERIFICA_STAFFE!$G$40</definedName>
    <definedName name="Asw">VERIFICA_STAFFE!$G$33</definedName>
    <definedName name="bw">VERIFICA_STAFFE!$G$22</definedName>
    <definedName name="Celle_sbloccate">VERIFICA_STAFFE!$G$10,VERIFICA_STAFFE!$G$18:$G$19,VERIFICA_STAFFE!$G$22:$G$24,VERIFICA_STAFFE!$G$26,VERIFICA_STAFFE!$G$29,VERIFICA_STAFFE!$G$31:$G$32,VERIFICA_STAFFE!$G$34:$G$35,VERIFICA_STAFFE!$L$47</definedName>
    <definedName name="coprif">VERIFICA_STAFFE!$G$24</definedName>
    <definedName name="cottheta">VERIFICA_STAFFE!$G$43</definedName>
    <definedName name="d">VERIFICA_STAFFE!$G$25</definedName>
    <definedName name="f_yd">VERIFICA_STAFFE!$G$15</definedName>
    <definedName name="f1cd">VERIFICA_STAFFE!$M$57</definedName>
    <definedName name="fcd">VERIFICA_STAFFE!$G$14</definedName>
    <definedName name="fyd">VERIFICA_STAFFE!$G$15</definedName>
    <definedName name="h">VERIFICA_STAFFE!$G$23</definedName>
    <definedName name="nb">VERIFICA_STAFFE!$G$32</definedName>
    <definedName name="ni">VERIFICA_STAFFE!$G$38</definedName>
    <definedName name="Nsd">VERIFICA_STAFFE!$G$19</definedName>
    <definedName name="phi">VERIFICA_STAFFE!$G$31</definedName>
    <definedName name="phi_min">VERIFICA_STAFFE!$G$26</definedName>
    <definedName name="s">VERIFICA_STAFFE!$G$34</definedName>
    <definedName name="sigma">VERIFICA_STAFFE!$G$39</definedName>
    <definedName name="w">VERIFICA_STAFFE!$G$41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6" i="5" l="1"/>
  <c r="G12" i="5" l="1"/>
  <c r="G14" i="5" s="1"/>
  <c r="G11" i="5"/>
  <c r="L39" i="5" l="1"/>
  <c r="L38" i="5"/>
  <c r="L36" i="5"/>
  <c r="M36" i="5"/>
  <c r="G39" i="5" l="1"/>
  <c r="G40" i="5" s="1"/>
  <c r="G33" i="5"/>
  <c r="Q11" i="5"/>
  <c r="Q12" i="5"/>
  <c r="Q13" i="5"/>
  <c r="Q14" i="5"/>
  <c r="Q15" i="5"/>
  <c r="G25" i="5"/>
  <c r="K28" i="5"/>
  <c r="V51" i="5"/>
  <c r="V53" i="5" s="1"/>
  <c r="Q10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62" i="5"/>
  <c r="Q63" i="5"/>
  <c r="Q64" i="5"/>
  <c r="Q65" i="5"/>
  <c r="Q66" i="5"/>
  <c r="Q67" i="5"/>
  <c r="Q68" i="5"/>
  <c r="L33" i="5" l="1"/>
  <c r="N43" i="5" l="1"/>
  <c r="M43" i="5" l="1"/>
  <c r="L32" i="5"/>
  <c r="M39" i="5"/>
  <c r="M38" i="5"/>
  <c r="N42" i="5" s="1"/>
  <c r="M42" i="5"/>
  <c r="L30" i="5"/>
  <c r="E63" i="9"/>
  <c r="E62" i="9"/>
  <c r="E61" i="9"/>
  <c r="E52" i="9"/>
  <c r="E34" i="9"/>
  <c r="E28" i="9"/>
  <c r="E15" i="9"/>
  <c r="E7" i="9"/>
  <c r="E39" i="9"/>
  <c r="E61" i="6"/>
  <c r="E60" i="6"/>
  <c r="E51" i="6"/>
  <c r="E33" i="6"/>
  <c r="E27" i="6"/>
  <c r="E34" i="6" s="1"/>
  <c r="G34" i="6" s="1"/>
  <c r="E15" i="6"/>
  <c r="E7" i="6"/>
  <c r="N56" i="6"/>
  <c r="N88" i="6" s="1"/>
  <c r="O56" i="6"/>
  <c r="Q57" i="9"/>
  <c r="Q61" i="9" s="1"/>
  <c r="R57" i="9"/>
  <c r="R58" i="9" s="1"/>
  <c r="S56" i="6"/>
  <c r="T56" i="6"/>
  <c r="T74" i="6" s="1"/>
  <c r="V56" i="6"/>
  <c r="V70" i="6" s="1"/>
  <c r="W57" i="9"/>
  <c r="X56" i="6"/>
  <c r="X65" i="6" s="1"/>
  <c r="V57" i="9"/>
  <c r="V68" i="9" s="1"/>
  <c r="W56" i="6"/>
  <c r="W73" i="6" s="1"/>
  <c r="O57" i="9"/>
  <c r="O74" i="9" s="1"/>
  <c r="Q56" i="6"/>
  <c r="Q58" i="6" s="1"/>
  <c r="V61" i="6"/>
  <c r="V82" i="6"/>
  <c r="N59" i="6"/>
  <c r="N72" i="6"/>
  <c r="N86" i="6"/>
  <c r="V62" i="9"/>
  <c r="Q83" i="9"/>
  <c r="Q67" i="9"/>
  <c r="N58" i="6"/>
  <c r="N68" i="6"/>
  <c r="N82" i="6"/>
  <c r="N65" i="6"/>
  <c r="N84" i="6"/>
  <c r="N83" i="6"/>
  <c r="N77" i="6"/>
  <c r="N62" i="6"/>
  <c r="N75" i="6"/>
  <c r="N61" i="6"/>
  <c r="M57" i="5" l="1"/>
  <c r="S13" i="5" s="1"/>
  <c r="G41" i="5"/>
  <c r="G43" i="5" s="1"/>
  <c r="G55" i="5" s="1"/>
  <c r="R15" i="5"/>
  <c r="R11" i="5"/>
  <c r="R14" i="5"/>
  <c r="R13" i="5"/>
  <c r="R12" i="5"/>
  <c r="R9" i="5"/>
  <c r="R31" i="5"/>
  <c r="R55" i="5"/>
  <c r="R60" i="5"/>
  <c r="R63" i="5"/>
  <c r="R65" i="5"/>
  <c r="R18" i="5"/>
  <c r="R21" i="5"/>
  <c r="R26" i="5"/>
  <c r="R29" i="5"/>
  <c r="R36" i="5"/>
  <c r="R67" i="5"/>
  <c r="R17" i="5"/>
  <c r="R22" i="5"/>
  <c r="R25" i="5"/>
  <c r="R30" i="5"/>
  <c r="R43" i="5"/>
  <c r="R48" i="5"/>
  <c r="R51" i="5"/>
  <c r="R53" i="5"/>
  <c r="R68" i="5"/>
  <c r="R44" i="5"/>
  <c r="R47" i="5"/>
  <c r="R52" i="5"/>
  <c r="R10" i="5"/>
  <c r="R32" i="5"/>
  <c r="R56" i="5"/>
  <c r="R59" i="5"/>
  <c r="R64" i="5"/>
  <c r="R57" i="5"/>
  <c r="R49" i="5"/>
  <c r="R66" i="5"/>
  <c r="R28" i="5"/>
  <c r="R39" i="5"/>
  <c r="R34" i="5"/>
  <c r="R42" i="5"/>
  <c r="R41" i="5"/>
  <c r="R33" i="5"/>
  <c r="R61" i="5"/>
  <c r="R20" i="5"/>
  <c r="R58" i="5"/>
  <c r="R27" i="5"/>
  <c r="R16" i="5"/>
  <c r="R50" i="5"/>
  <c r="R19" i="5"/>
  <c r="R54" i="5"/>
  <c r="R23" i="5"/>
  <c r="R40" i="5"/>
  <c r="R37" i="5"/>
  <c r="R62" i="5"/>
  <c r="R38" i="5"/>
  <c r="R24" i="5"/>
  <c r="R46" i="5"/>
  <c r="R45" i="5"/>
  <c r="R35" i="5"/>
  <c r="S38" i="5"/>
  <c r="S53" i="5"/>
  <c r="S68" i="5"/>
  <c r="S56" i="5"/>
  <c r="S35" i="5"/>
  <c r="S26" i="5"/>
  <c r="S28" i="5"/>
  <c r="S67" i="5"/>
  <c r="S63" i="5"/>
  <c r="S37" i="5"/>
  <c r="S25" i="5"/>
  <c r="S46" i="5"/>
  <c r="S60" i="5"/>
  <c r="S39" i="5"/>
  <c r="S30" i="5"/>
  <c r="S20" i="5"/>
  <c r="S10" i="5"/>
  <c r="S59" i="5"/>
  <c r="S29" i="5"/>
  <c r="S21" i="5"/>
  <c r="S16" i="5"/>
  <c r="Q85" i="9"/>
  <c r="Q88" i="9"/>
  <c r="V67" i="6"/>
  <c r="Q81" i="9"/>
  <c r="Q84" i="9"/>
  <c r="V84" i="9"/>
  <c r="V72" i="6"/>
  <c r="N71" i="6"/>
  <c r="X75" i="6"/>
  <c r="Q60" i="6"/>
  <c r="Q75" i="9"/>
  <c r="Q87" i="9"/>
  <c r="V66" i="6"/>
  <c r="V79" i="6"/>
  <c r="R88" i="9"/>
  <c r="R89" i="9"/>
  <c r="O83" i="9"/>
  <c r="R61" i="9"/>
  <c r="R60" i="9"/>
  <c r="R87" i="9"/>
  <c r="R86" i="9"/>
  <c r="R90" i="9"/>
  <c r="R59" i="9"/>
  <c r="Q69" i="9"/>
  <c r="Q82" i="9"/>
  <c r="Q72" i="9"/>
  <c r="Q62" i="9"/>
  <c r="V60" i="6"/>
  <c r="V77" i="6"/>
  <c r="V75" i="6"/>
  <c r="R73" i="9"/>
  <c r="R74" i="9"/>
  <c r="O61" i="9"/>
  <c r="Q65" i="9"/>
  <c r="Q78" i="9"/>
  <c r="Q68" i="9"/>
  <c r="V65" i="6"/>
  <c r="V69" i="6"/>
  <c r="V85" i="6"/>
  <c r="W69" i="9"/>
  <c r="W74" i="9"/>
  <c r="W79" i="9"/>
  <c r="W64" i="9"/>
  <c r="W60" i="9"/>
  <c r="W63" i="9"/>
  <c r="W77" i="9"/>
  <c r="W61" i="9"/>
  <c r="W84" i="9"/>
  <c r="S57" i="6"/>
  <c r="S84" i="6"/>
  <c r="S80" i="6"/>
  <c r="S64" i="6"/>
  <c r="S82" i="6"/>
  <c r="S58" i="6"/>
  <c r="S66" i="6"/>
  <c r="S75" i="6"/>
  <c r="S69" i="6"/>
  <c r="S71" i="6"/>
  <c r="S83" i="6"/>
  <c r="S77" i="6"/>
  <c r="S63" i="6"/>
  <c r="S86" i="6"/>
  <c r="S73" i="6"/>
  <c r="S87" i="6"/>
  <c r="O82" i="6"/>
  <c r="O64" i="6"/>
  <c r="O87" i="6"/>
  <c r="O76" i="6"/>
  <c r="O66" i="6"/>
  <c r="O86" i="6"/>
  <c r="O70" i="6"/>
  <c r="O68" i="6"/>
  <c r="O89" i="6"/>
  <c r="O62" i="6"/>
  <c r="O72" i="6"/>
  <c r="O58" i="6"/>
  <c r="O75" i="6"/>
  <c r="O83" i="6"/>
  <c r="O60" i="6"/>
  <c r="O63" i="6"/>
  <c r="O67" i="6"/>
  <c r="O59" i="6"/>
  <c r="O78" i="6"/>
  <c r="O81" i="6"/>
  <c r="O65" i="6"/>
  <c r="O71" i="6"/>
  <c r="O79" i="6"/>
  <c r="O57" i="6"/>
  <c r="O80" i="6"/>
  <c r="O73" i="6"/>
  <c r="W89" i="6"/>
  <c r="O81" i="9"/>
  <c r="T72" i="6"/>
  <c r="W86" i="6"/>
  <c r="S57" i="9"/>
  <c r="S59" i="9" s="1"/>
  <c r="W69" i="6"/>
  <c r="O87" i="9"/>
  <c r="W57" i="6"/>
  <c r="V59" i="9"/>
  <c r="T79" i="6"/>
  <c r="W76" i="6"/>
  <c r="O69" i="9"/>
  <c r="O71" i="9"/>
  <c r="W65" i="6"/>
  <c r="W74" i="6"/>
  <c r="R63" i="9"/>
  <c r="R62" i="9"/>
  <c r="R64" i="9"/>
  <c r="R77" i="9"/>
  <c r="R67" i="9"/>
  <c r="R66" i="9"/>
  <c r="R68" i="9"/>
  <c r="R81" i="9"/>
  <c r="R65" i="9"/>
  <c r="R79" i="9"/>
  <c r="R78" i="9"/>
  <c r="R80" i="9"/>
  <c r="R69" i="9"/>
  <c r="R83" i="9"/>
  <c r="R82" i="9"/>
  <c r="R84" i="9"/>
  <c r="R85" i="9"/>
  <c r="R70" i="9"/>
  <c r="O65" i="9"/>
  <c r="O67" i="9"/>
  <c r="V80" i="6"/>
  <c r="Q59" i="9"/>
  <c r="Q66" i="9"/>
  <c r="Q79" i="9"/>
  <c r="Q89" i="9"/>
  <c r="Q64" i="9"/>
  <c r="Q74" i="9"/>
  <c r="Q70" i="9"/>
  <c r="Q90" i="9"/>
  <c r="Q60" i="9"/>
  <c r="Q63" i="9"/>
  <c r="Q76" i="9"/>
  <c r="Q86" i="9"/>
  <c r="Q73" i="9"/>
  <c r="Q71" i="9"/>
  <c r="Q80" i="9"/>
  <c r="Q58" i="9"/>
  <c r="Q77" i="9"/>
  <c r="Q79" i="6"/>
  <c r="Q76" i="6"/>
  <c r="Q84" i="6"/>
  <c r="Q77" i="6"/>
  <c r="Q81" i="6"/>
  <c r="O78" i="9"/>
  <c r="O90" i="9"/>
  <c r="Q57" i="6"/>
  <c r="W61" i="6"/>
  <c r="W71" i="6"/>
  <c r="W77" i="6"/>
  <c r="W82" i="6"/>
  <c r="W84" i="6"/>
  <c r="W79" i="6"/>
  <c r="W70" i="6"/>
  <c r="W59" i="6"/>
  <c r="W67" i="6"/>
  <c r="W58" i="6"/>
  <c r="W78" i="6"/>
  <c r="W64" i="6"/>
  <c r="W66" i="6"/>
  <c r="W75" i="6"/>
  <c r="W72" i="6"/>
  <c r="W87" i="6"/>
  <c r="W83" i="6"/>
  <c r="O80" i="9"/>
  <c r="W81" i="6"/>
  <c r="R76" i="9"/>
  <c r="W68" i="6"/>
  <c r="V88" i="6"/>
  <c r="V57" i="6"/>
  <c r="V74" i="6"/>
  <c r="V64" i="6"/>
  <c r="V63" i="6"/>
  <c r="V81" i="6"/>
  <c r="V71" i="6"/>
  <c r="V78" i="6"/>
  <c r="V86" i="6"/>
  <c r="V68" i="6"/>
  <c r="V89" i="6"/>
  <c r="V58" i="6"/>
  <c r="V73" i="6"/>
  <c r="V83" i="6"/>
  <c r="V59" i="6"/>
  <c r="V76" i="6"/>
  <c r="V87" i="6"/>
  <c r="O75" i="9"/>
  <c r="O72" i="9"/>
  <c r="O73" i="9"/>
  <c r="O82" i="9"/>
  <c r="O79" i="9"/>
  <c r="O76" i="9"/>
  <c r="O86" i="9"/>
  <c r="O77" i="9"/>
  <c r="O58" i="9"/>
  <c r="O89" i="9"/>
  <c r="O88" i="9"/>
  <c r="O62" i="9"/>
  <c r="O63" i="9"/>
  <c r="O59" i="9"/>
  <c r="O60" i="9"/>
  <c r="O66" i="9"/>
  <c r="O84" i="9"/>
  <c r="O85" i="9"/>
  <c r="Q69" i="6"/>
  <c r="V71" i="9"/>
  <c r="V63" i="9"/>
  <c r="V81" i="9"/>
  <c r="R75" i="9"/>
  <c r="O68" i="9"/>
  <c r="R56" i="6"/>
  <c r="S77" i="9"/>
  <c r="S65" i="9"/>
  <c r="N78" i="6"/>
  <c r="N70" i="6"/>
  <c r="N57" i="6"/>
  <c r="N67" i="6"/>
  <c r="N74" i="6"/>
  <c r="N69" i="6"/>
  <c r="N81" i="6"/>
  <c r="N64" i="6"/>
  <c r="N85" i="6"/>
  <c r="N80" i="6"/>
  <c r="N89" i="6"/>
  <c r="N79" i="6"/>
  <c r="N76" i="6"/>
  <c r="N73" i="6"/>
  <c r="N87" i="6"/>
  <c r="W85" i="6"/>
  <c r="R72" i="9"/>
  <c r="R71" i="9"/>
  <c r="O70" i="9"/>
  <c r="O64" i="9"/>
  <c r="N66" i="6"/>
  <c r="N63" i="6"/>
  <c r="N60" i="6"/>
  <c r="V62" i="6"/>
  <c r="V84" i="6"/>
  <c r="W63" i="6"/>
  <c r="N57" i="9"/>
  <c r="N86" i="9" s="1"/>
  <c r="S74" i="6"/>
  <c r="S76" i="6"/>
  <c r="S62" i="6"/>
  <c r="S72" i="6"/>
  <c r="S85" i="6"/>
  <c r="S79" i="6"/>
  <c r="S60" i="6"/>
  <c r="S68" i="6"/>
  <c r="S88" i="6"/>
  <c r="S59" i="6"/>
  <c r="S61" i="6"/>
  <c r="S89" i="6"/>
  <c r="S78" i="6"/>
  <c r="S70" i="6"/>
  <c r="S65" i="6"/>
  <c r="S81" i="6"/>
  <c r="S67" i="6"/>
  <c r="U56" i="6"/>
  <c r="U66" i="6" s="1"/>
  <c r="U57" i="9"/>
  <c r="U63" i="9" s="1"/>
  <c r="O77" i="6"/>
  <c r="O88" i="6"/>
  <c r="O85" i="6"/>
  <c r="O69" i="6"/>
  <c r="O84" i="6"/>
  <c r="X62" i="6"/>
  <c r="Q63" i="6"/>
  <c r="Q78" i="6"/>
  <c r="Q62" i="6"/>
  <c r="Q61" i="6"/>
  <c r="W59" i="9"/>
  <c r="W58" i="9"/>
  <c r="W72" i="9"/>
  <c r="W67" i="9"/>
  <c r="W78" i="9"/>
  <c r="W62" i="9"/>
  <c r="W81" i="9"/>
  <c r="W65" i="9"/>
  <c r="T69" i="6"/>
  <c r="T83" i="6"/>
  <c r="Q67" i="6"/>
  <c r="Q65" i="6"/>
  <c r="Q71" i="6"/>
  <c r="Q87" i="6"/>
  <c r="X67" i="6"/>
  <c r="Q70" i="6"/>
  <c r="Q59" i="6"/>
  <c r="Q88" i="6"/>
  <c r="W88" i="9"/>
  <c r="W75" i="9"/>
  <c r="W80" i="9"/>
  <c r="W87" i="9"/>
  <c r="W86" i="9"/>
  <c r="W70" i="9"/>
  <c r="W89" i="9"/>
  <c r="W73" i="9"/>
  <c r="W90" i="9"/>
  <c r="T85" i="6"/>
  <c r="T58" i="6"/>
  <c r="Q89" i="6"/>
  <c r="Q66" i="6"/>
  <c r="Q83" i="6"/>
  <c r="Q85" i="6"/>
  <c r="Q80" i="6"/>
  <c r="X61" i="6"/>
  <c r="X57" i="9"/>
  <c r="X79" i="9" s="1"/>
  <c r="T57" i="9"/>
  <c r="T73" i="9" s="1"/>
  <c r="Q82" i="6"/>
  <c r="Q64" i="6"/>
  <c r="Q68" i="6"/>
  <c r="Q73" i="6"/>
  <c r="W68" i="9"/>
  <c r="W71" i="9"/>
  <c r="W76" i="9"/>
  <c r="W83" i="9"/>
  <c r="W82" i="9"/>
  <c r="W66" i="9"/>
  <c r="W85" i="9"/>
  <c r="T88" i="6"/>
  <c r="Q75" i="6"/>
  <c r="Q72" i="6"/>
  <c r="Q74" i="6"/>
  <c r="Q86" i="6"/>
  <c r="X89" i="6"/>
  <c r="O74" i="6"/>
  <c r="X86" i="9"/>
  <c r="B47" i="9"/>
  <c r="V65" i="9"/>
  <c r="M57" i="9"/>
  <c r="M88" i="9" s="1"/>
  <c r="M56" i="6"/>
  <c r="K43" i="9"/>
  <c r="E35" i="9"/>
  <c r="G35" i="9" s="1"/>
  <c r="N82" i="9"/>
  <c r="V74" i="9"/>
  <c r="V60" i="9"/>
  <c r="V76" i="9"/>
  <c r="V70" i="9"/>
  <c r="V83" i="9"/>
  <c r="V73" i="9"/>
  <c r="V89" i="9"/>
  <c r="V82" i="9"/>
  <c r="V86" i="9"/>
  <c r="V64" i="9"/>
  <c r="V80" i="9"/>
  <c r="V78" i="9"/>
  <c r="V87" i="9"/>
  <c r="V77" i="9"/>
  <c r="V58" i="9"/>
  <c r="V90" i="9"/>
  <c r="V61" i="9"/>
  <c r="V79" i="9"/>
  <c r="V72" i="9"/>
  <c r="V88" i="9"/>
  <c r="V67" i="9"/>
  <c r="V69" i="9"/>
  <c r="V85" i="9"/>
  <c r="V66" i="9"/>
  <c r="V75" i="9"/>
  <c r="X83" i="6"/>
  <c r="X78" i="6"/>
  <c r="X69" i="6"/>
  <c r="X57" i="6"/>
  <c r="X63" i="6"/>
  <c r="X76" i="6"/>
  <c r="X64" i="6"/>
  <c r="X58" i="6"/>
  <c r="X77" i="6"/>
  <c r="X70" i="6"/>
  <c r="X81" i="6"/>
  <c r="X82" i="6"/>
  <c r="X66" i="6"/>
  <c r="X71" i="6"/>
  <c r="X87" i="6"/>
  <c r="X85" i="6"/>
  <c r="X88" i="6"/>
  <c r="X80" i="6"/>
  <c r="X86" i="6"/>
  <c r="X60" i="6"/>
  <c r="X79" i="6"/>
  <c r="T86" i="6"/>
  <c r="T57" i="6"/>
  <c r="T67" i="6"/>
  <c r="T68" i="6"/>
  <c r="T82" i="6"/>
  <c r="T76" i="6"/>
  <c r="T81" i="6"/>
  <c r="T89" i="6"/>
  <c r="T66" i="6"/>
  <c r="T62" i="6"/>
  <c r="T80" i="6"/>
  <c r="T78" i="6"/>
  <c r="T84" i="6"/>
  <c r="T71" i="6"/>
  <c r="T73" i="6"/>
  <c r="T63" i="6"/>
  <c r="T59" i="6"/>
  <c r="T70" i="6"/>
  <c r="T65" i="6"/>
  <c r="T60" i="6"/>
  <c r="T77" i="6"/>
  <c r="T75" i="6"/>
  <c r="T87" i="6"/>
  <c r="T61" i="6"/>
  <c r="T64" i="6"/>
  <c r="P57" i="9"/>
  <c r="P56" i="6"/>
  <c r="T83" i="9"/>
  <c r="T82" i="9"/>
  <c r="K42" i="6"/>
  <c r="M42" i="6" s="1"/>
  <c r="L31" i="5"/>
  <c r="U63" i="6"/>
  <c r="U89" i="6"/>
  <c r="U82" i="6"/>
  <c r="L43" i="9"/>
  <c r="E43" i="9" s="1"/>
  <c r="M43" i="9"/>
  <c r="E38" i="6"/>
  <c r="O61" i="6"/>
  <c r="W62" i="6"/>
  <c r="W80" i="6"/>
  <c r="W60" i="6"/>
  <c r="W88" i="6"/>
  <c r="X68" i="6"/>
  <c r="X73" i="6"/>
  <c r="X59" i="6"/>
  <c r="X72" i="6"/>
  <c r="X74" i="6"/>
  <c r="X84" i="6"/>
  <c r="S12" i="5" l="1"/>
  <c r="S33" i="5"/>
  <c r="S22" i="5"/>
  <c r="S24" i="5"/>
  <c r="S55" i="5"/>
  <c r="S18" i="5"/>
  <c r="S41" i="5"/>
  <c r="S14" i="5"/>
  <c r="S34" i="5"/>
  <c r="S43" i="5"/>
  <c r="S27" i="5"/>
  <c r="S42" i="5"/>
  <c r="S44" i="5"/>
  <c r="S49" i="5"/>
  <c r="S62" i="5"/>
  <c r="S47" i="5"/>
  <c r="S19" i="5"/>
  <c r="S50" i="5"/>
  <c r="S40" i="5"/>
  <c r="S64" i="5"/>
  <c r="S61" i="5"/>
  <c r="S32" i="5"/>
  <c r="S11" i="5"/>
  <c r="S15" i="5"/>
  <c r="S54" i="5"/>
  <c r="S51" i="5"/>
  <c r="S45" i="5"/>
  <c r="S58" i="5"/>
  <c r="S52" i="5"/>
  <c r="S31" i="5"/>
  <c r="S17" i="5"/>
  <c r="S65" i="5"/>
  <c r="S36" i="5"/>
  <c r="S66" i="5"/>
  <c r="S48" i="5"/>
  <c r="S23" i="5"/>
  <c r="S57" i="5"/>
  <c r="G57" i="5"/>
  <c r="G56" i="5"/>
  <c r="M87" i="9"/>
  <c r="X74" i="9"/>
  <c r="X78" i="9"/>
  <c r="N59" i="9"/>
  <c r="X64" i="9"/>
  <c r="N63" i="9"/>
  <c r="T90" i="9"/>
  <c r="T79" i="9"/>
  <c r="U83" i="6"/>
  <c r="U67" i="6"/>
  <c r="T70" i="9"/>
  <c r="U79" i="9"/>
  <c r="U83" i="9"/>
  <c r="U80" i="9"/>
  <c r="U64" i="9"/>
  <c r="U87" i="9"/>
  <c r="M71" i="9"/>
  <c r="X73" i="9"/>
  <c r="U75" i="6"/>
  <c r="U76" i="6"/>
  <c r="U81" i="6"/>
  <c r="U65" i="6"/>
  <c r="U72" i="6"/>
  <c r="X85" i="9"/>
  <c r="X63" i="9"/>
  <c r="X70" i="9"/>
  <c r="X60" i="9"/>
  <c r="U64" i="6"/>
  <c r="U78" i="6"/>
  <c r="U69" i="6"/>
  <c r="U88" i="6"/>
  <c r="U57" i="6"/>
  <c r="X71" i="9"/>
  <c r="X69" i="9"/>
  <c r="X58" i="9"/>
  <c r="X90" i="9"/>
  <c r="S60" i="9"/>
  <c r="S63" i="9"/>
  <c r="U68" i="6"/>
  <c r="U84" i="6"/>
  <c r="U85" i="6"/>
  <c r="U86" i="6"/>
  <c r="U61" i="6"/>
  <c r="N78" i="9"/>
  <c r="X68" i="9"/>
  <c r="X66" i="9"/>
  <c r="X61" i="9"/>
  <c r="X77" i="9"/>
  <c r="X89" i="9"/>
  <c r="N71" i="9"/>
  <c r="S71" i="9"/>
  <c r="S87" i="9"/>
  <c r="S78" i="9"/>
  <c r="S61" i="9"/>
  <c r="S80" i="9"/>
  <c r="S67" i="9"/>
  <c r="S68" i="9"/>
  <c r="S69" i="9"/>
  <c r="S82" i="9"/>
  <c r="S73" i="9"/>
  <c r="S84" i="9"/>
  <c r="S89" i="9"/>
  <c r="S83" i="9"/>
  <c r="S72" i="9"/>
  <c r="S88" i="9"/>
  <c r="T75" i="9"/>
  <c r="T65" i="9"/>
  <c r="N67" i="9"/>
  <c r="S64" i="9"/>
  <c r="S79" i="9"/>
  <c r="S75" i="9"/>
  <c r="S81" i="9"/>
  <c r="S66" i="9"/>
  <c r="S90" i="9"/>
  <c r="S76" i="9"/>
  <c r="S58" i="9"/>
  <c r="T69" i="9"/>
  <c r="T74" i="9"/>
  <c r="S85" i="9"/>
  <c r="S74" i="9"/>
  <c r="S70" i="9"/>
  <c r="S62" i="9"/>
  <c r="S86" i="9"/>
  <c r="N90" i="9"/>
  <c r="N74" i="9"/>
  <c r="N76" i="9"/>
  <c r="N62" i="9"/>
  <c r="N70" i="9"/>
  <c r="N66" i="9"/>
  <c r="M66" i="9"/>
  <c r="T81" i="9"/>
  <c r="T89" i="9"/>
  <c r="N88" i="9"/>
  <c r="N61" i="9"/>
  <c r="N89" i="9"/>
  <c r="N80" i="9"/>
  <c r="U74" i="9"/>
  <c r="M86" i="9"/>
  <c r="U58" i="6"/>
  <c r="U62" i="6"/>
  <c r="U74" i="6"/>
  <c r="U79" i="6"/>
  <c r="T76" i="9"/>
  <c r="T84" i="9"/>
  <c r="T80" i="9"/>
  <c r="N64" i="9"/>
  <c r="N72" i="9"/>
  <c r="N68" i="9"/>
  <c r="N87" i="9"/>
  <c r="X88" i="9"/>
  <c r="X87" i="9"/>
  <c r="X59" i="9"/>
  <c r="U86" i="9"/>
  <c r="U67" i="9"/>
  <c r="U81" i="9"/>
  <c r="H117" i="5"/>
  <c r="U84" i="9"/>
  <c r="U61" i="9"/>
  <c r="U90" i="9"/>
  <c r="U88" i="9"/>
  <c r="T62" i="9"/>
  <c r="U70" i="9"/>
  <c r="U65" i="9"/>
  <c r="M72" i="9"/>
  <c r="U70" i="6"/>
  <c r="U73" i="6"/>
  <c r="U87" i="6"/>
  <c r="U59" i="6"/>
  <c r="U80" i="6"/>
  <c r="T60" i="9"/>
  <c r="T68" i="9"/>
  <c r="T64" i="9"/>
  <c r="N75" i="9"/>
  <c r="N83" i="9"/>
  <c r="N79" i="9"/>
  <c r="X72" i="9"/>
  <c r="X80" i="9"/>
  <c r="X76" i="9"/>
  <c r="U59" i="9"/>
  <c r="U68" i="9"/>
  <c r="N69" i="9"/>
  <c r="U71" i="9"/>
  <c r="U62" i="9"/>
  <c r="U78" i="9"/>
  <c r="U60" i="9"/>
  <c r="U77" i="9"/>
  <c r="U76" i="9"/>
  <c r="U58" i="9"/>
  <c r="U72" i="9"/>
  <c r="U75" i="9"/>
  <c r="T59" i="9"/>
  <c r="T67" i="9"/>
  <c r="T63" i="9"/>
  <c r="N73" i="9"/>
  <c r="N81" i="9"/>
  <c r="N77" i="9"/>
  <c r="U69" i="9"/>
  <c r="U73" i="9"/>
  <c r="U66" i="9"/>
  <c r="R85" i="6"/>
  <c r="R70" i="6"/>
  <c r="R80" i="6"/>
  <c r="R79" i="6"/>
  <c r="R84" i="6"/>
  <c r="R76" i="6"/>
  <c r="R89" i="6"/>
  <c r="R88" i="6"/>
  <c r="R81" i="6"/>
  <c r="R68" i="6"/>
  <c r="R77" i="6"/>
  <c r="R67" i="6"/>
  <c r="R58" i="6"/>
  <c r="R73" i="6"/>
  <c r="R83" i="6"/>
  <c r="R62" i="6"/>
  <c r="R71" i="6"/>
  <c r="R86" i="6"/>
  <c r="R60" i="6"/>
  <c r="R87" i="6"/>
  <c r="R59" i="6"/>
  <c r="R64" i="6"/>
  <c r="R69" i="6"/>
  <c r="R75" i="6"/>
  <c r="R61" i="6"/>
  <c r="R82" i="6"/>
  <c r="R63" i="6"/>
  <c r="R57" i="6"/>
  <c r="R78" i="6"/>
  <c r="R65" i="6"/>
  <c r="R66" i="6"/>
  <c r="R74" i="6"/>
  <c r="R72" i="6"/>
  <c r="U60" i="6"/>
  <c r="U71" i="6"/>
  <c r="U77" i="6"/>
  <c r="T77" i="9"/>
  <c r="T58" i="9"/>
  <c r="T85" i="9"/>
  <c r="N60" i="9"/>
  <c r="N65" i="9"/>
  <c r="N84" i="9"/>
  <c r="X75" i="9"/>
  <c r="X83" i="9"/>
  <c r="U85" i="9"/>
  <c r="N85" i="9"/>
  <c r="U89" i="9"/>
  <c r="N58" i="9"/>
  <c r="U82" i="9"/>
  <c r="M85" i="9"/>
  <c r="X65" i="9"/>
  <c r="X82" i="9"/>
  <c r="X81" i="9"/>
  <c r="X67" i="9"/>
  <c r="X84" i="9"/>
  <c r="X62" i="9"/>
  <c r="G42" i="5"/>
  <c r="T72" i="9"/>
  <c r="T87" i="9"/>
  <c r="T78" i="9"/>
  <c r="T88" i="9"/>
  <c r="T61" i="9"/>
  <c r="T71" i="9"/>
  <c r="T86" i="9"/>
  <c r="T66" i="9"/>
  <c r="L42" i="5"/>
  <c r="L42" i="6"/>
  <c r="E42" i="6" s="1"/>
  <c r="M79" i="6"/>
  <c r="M71" i="6"/>
  <c r="M69" i="6"/>
  <c r="M88" i="6"/>
  <c r="M85" i="6"/>
  <c r="M73" i="6"/>
  <c r="M78" i="6"/>
  <c r="M67" i="6"/>
  <c r="M65" i="6"/>
  <c r="M81" i="6"/>
  <c r="M72" i="6"/>
  <c r="M89" i="6"/>
  <c r="M62" i="6"/>
  <c r="M64" i="6"/>
  <c r="M66" i="6"/>
  <c r="M70" i="6"/>
  <c r="M75" i="6"/>
  <c r="M68" i="6"/>
  <c r="M87" i="6"/>
  <c r="M63" i="6"/>
  <c r="M61" i="6"/>
  <c r="M82" i="6"/>
  <c r="M76" i="6"/>
  <c r="M86" i="6"/>
  <c r="M58" i="6"/>
  <c r="M84" i="6"/>
  <c r="M83" i="6"/>
  <c r="M60" i="6"/>
  <c r="M77" i="6"/>
  <c r="M74" i="6"/>
  <c r="M59" i="6"/>
  <c r="M80" i="6"/>
  <c r="M57" i="6"/>
  <c r="P62" i="9"/>
  <c r="P78" i="9"/>
  <c r="P59" i="9"/>
  <c r="P75" i="9"/>
  <c r="P65" i="9"/>
  <c r="P81" i="9"/>
  <c r="P68" i="9"/>
  <c r="P84" i="9"/>
  <c r="P66" i="9"/>
  <c r="P82" i="9"/>
  <c r="P63" i="9"/>
  <c r="P79" i="9"/>
  <c r="P69" i="9"/>
  <c r="P89" i="9"/>
  <c r="P72" i="9"/>
  <c r="P88" i="9"/>
  <c r="P58" i="9"/>
  <c r="P74" i="9"/>
  <c r="P90" i="9"/>
  <c r="P71" i="9"/>
  <c r="P87" i="9"/>
  <c r="P77" i="9"/>
  <c r="P64" i="9"/>
  <c r="P80" i="9"/>
  <c r="P67" i="9"/>
  <c r="P76" i="9"/>
  <c r="P61" i="9"/>
  <c r="P83" i="9"/>
  <c r="P85" i="9"/>
  <c r="P70" i="9"/>
  <c r="P73" i="9"/>
  <c r="P86" i="9"/>
  <c r="P60" i="9"/>
  <c r="M78" i="9"/>
  <c r="M90" i="9"/>
  <c r="M75" i="9"/>
  <c r="M73" i="9"/>
  <c r="M62" i="9"/>
  <c r="M59" i="9"/>
  <c r="M80" i="9"/>
  <c r="M81" i="9"/>
  <c r="M58" i="9"/>
  <c r="M79" i="9"/>
  <c r="M77" i="9"/>
  <c r="M70" i="9"/>
  <c r="M64" i="9"/>
  <c r="M84" i="9"/>
  <c r="M67" i="9"/>
  <c r="M69" i="9"/>
  <c r="M61" i="9"/>
  <c r="M82" i="9"/>
  <c r="M76" i="9"/>
  <c r="M65" i="9"/>
  <c r="M89" i="9"/>
  <c r="M74" i="9"/>
  <c r="M63" i="9"/>
  <c r="M68" i="9"/>
  <c r="M83" i="9"/>
  <c r="M60" i="9"/>
  <c r="B40" i="9"/>
  <c r="P78" i="6"/>
  <c r="P67" i="6"/>
  <c r="P77" i="6"/>
  <c r="P71" i="6"/>
  <c r="P73" i="6"/>
  <c r="P57" i="6"/>
  <c r="P81" i="6"/>
  <c r="P61" i="6"/>
  <c r="P58" i="6"/>
  <c r="P88" i="6"/>
  <c r="P60" i="6"/>
  <c r="P87" i="6"/>
  <c r="P82" i="6"/>
  <c r="P89" i="6"/>
  <c r="P74" i="6"/>
  <c r="P72" i="6"/>
  <c r="P75" i="6"/>
  <c r="P59" i="6"/>
  <c r="P79" i="6"/>
  <c r="P86" i="6"/>
  <c r="P69" i="6"/>
  <c r="P70" i="6"/>
  <c r="P80" i="6"/>
  <c r="P84" i="6"/>
  <c r="P76" i="6"/>
  <c r="P68" i="6"/>
  <c r="P63" i="6"/>
  <c r="P85" i="6"/>
  <c r="P64" i="6"/>
  <c r="P62" i="6"/>
  <c r="P66" i="6"/>
  <c r="P65" i="6"/>
  <c r="P83" i="6"/>
  <c r="B46" i="6"/>
  <c r="B39" i="6"/>
  <c r="E44" i="9"/>
  <c r="E45" i="9"/>
  <c r="E46" i="9" s="1"/>
  <c r="V52" i="5" l="1"/>
  <c r="V54" i="5" s="1"/>
  <c r="G59" i="5"/>
  <c r="G30" i="5"/>
  <c r="K27" i="5" s="1"/>
  <c r="E43" i="6"/>
  <c r="E44" i="6"/>
  <c r="E45" i="6" s="1"/>
</calcChain>
</file>

<file path=xl/sharedStrings.xml><?xml version="1.0" encoding="utf-8"?>
<sst xmlns="http://schemas.openxmlformats.org/spreadsheetml/2006/main" count="510" uniqueCount="228">
  <si>
    <t>Simbolo</t>
  </si>
  <si>
    <t>Formula</t>
  </si>
  <si>
    <t>Valore</t>
  </si>
  <si>
    <t>Unità di misura</t>
  </si>
  <si>
    <t>Note</t>
  </si>
  <si>
    <t>fcd</t>
  </si>
  <si>
    <r>
      <t>MPa (N/mm</t>
    </r>
    <r>
      <rPr>
        <vertAlign val="super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)</t>
    </r>
  </si>
  <si>
    <t>fyd</t>
  </si>
  <si>
    <t>GEOMETRIA SEZIONE</t>
  </si>
  <si>
    <t>bw</t>
  </si>
  <si>
    <t>b</t>
  </si>
  <si>
    <t>h</t>
  </si>
  <si>
    <t>mm</t>
  </si>
  <si>
    <t>d</t>
  </si>
  <si>
    <t>AZIONE</t>
  </si>
  <si>
    <t>altezza totale</t>
  </si>
  <si>
    <t>#</t>
  </si>
  <si>
    <t>VALORI EDITABILI</t>
  </si>
  <si>
    <t>εsu</t>
  </si>
  <si>
    <t>CALCESTRUZZO</t>
  </si>
  <si>
    <t>ACCIAIO</t>
  </si>
  <si>
    <t>deformazione a rottura</t>
  </si>
  <si>
    <t>εcu</t>
  </si>
  <si>
    <t>εc4</t>
  </si>
  <si>
    <t>deformazione stress-block</t>
  </si>
  <si>
    <t>tensione di calcolo</t>
  </si>
  <si>
    <t>NTC §4.1.2.1.2.2</t>
  </si>
  <si>
    <t>tensione di calcolo (snerv)</t>
  </si>
  <si>
    <t>le deformazioni NON vengono espresse in percentuale</t>
  </si>
  <si>
    <t>tensione nominale</t>
  </si>
  <si>
    <t>fyk</t>
  </si>
  <si>
    <t>modulo elastico</t>
  </si>
  <si>
    <t>Es</t>
  </si>
  <si>
    <t>deformazione snervamento</t>
  </si>
  <si>
    <t>εy</t>
  </si>
  <si>
    <t>fyd/Es</t>
  </si>
  <si>
    <t>§11.3.4.1</t>
  </si>
  <si>
    <t>§11.3.2.1</t>
  </si>
  <si>
    <t>da Tab. 11.3.Ib (§4.1.2.1.2.3)</t>
  </si>
  <si>
    <t>taglio sollecitante</t>
  </si>
  <si>
    <t>Vsd</t>
  </si>
  <si>
    <t>kN</t>
  </si>
  <si>
    <t>larghezza reagente</t>
  </si>
  <si>
    <t>altezza utile</t>
  </si>
  <si>
    <t>ATTENZIONE ALL'EFFETTIVA AREA REAGENTE</t>
  </si>
  <si>
    <t>fck</t>
  </si>
  <si>
    <t>MPa (N/mm2)</t>
  </si>
  <si>
    <t>tensione caratteristica</t>
  </si>
  <si>
    <t>α</t>
  </si>
  <si>
    <t>°</t>
  </si>
  <si>
    <t>s</t>
  </si>
  <si>
    <t>eq.ne 4.1.18</t>
  </si>
  <si>
    <t>VRsd</t>
  </si>
  <si>
    <t>TAGLIO COMPRESSIONE</t>
  </si>
  <si>
    <t>VRcd</t>
  </si>
  <si>
    <t>eq.ne 4.1.19</t>
  </si>
  <si>
    <t>ϑ</t>
  </si>
  <si>
    <t>cotg ϑ</t>
  </si>
  <si>
    <t>f'cd</t>
  </si>
  <si>
    <t>resistenza cls ridotta</t>
  </si>
  <si>
    <t>0.5*fcd</t>
  </si>
  <si>
    <t>Mpa (N/mm2)</t>
  </si>
  <si>
    <t>coefficiente maggiorativo</t>
  </si>
  <si>
    <t>αc</t>
  </si>
  <si>
    <t>per elementi non compressi</t>
  </si>
  <si>
    <t>ν</t>
  </si>
  <si>
    <t>% mecc. armatura trasversale</t>
  </si>
  <si>
    <t>ωsw</t>
  </si>
  <si>
    <t>coefficiente riduttivo cls</t>
  </si>
  <si>
    <t>f'cd/fcd</t>
  </si>
  <si>
    <t>[kN]</t>
  </si>
  <si>
    <t>PROGETTO DELLA STAFFATURA</t>
  </si>
  <si>
    <r>
      <t xml:space="preserve">CRISI CLS </t>
    </r>
    <r>
      <rPr>
        <sz val="11"/>
        <color theme="1"/>
        <rFont val="Calibri"/>
        <family val="2"/>
      </rPr>
      <t>ϑ</t>
    </r>
    <r>
      <rPr>
        <sz val="9.35"/>
        <color theme="1"/>
        <rFont val="Calibri"/>
        <family val="2"/>
      </rPr>
      <t xml:space="preserve"> = 45°</t>
    </r>
  </si>
  <si>
    <t>resistenza taglio compress</t>
  </si>
  <si>
    <r>
      <t xml:space="preserve">CRISI CLS </t>
    </r>
    <r>
      <rPr>
        <sz val="11"/>
        <color theme="1"/>
        <rFont val="Calibri"/>
        <family val="2"/>
      </rPr>
      <t>ϑ</t>
    </r>
    <r>
      <rPr>
        <sz val="9.35"/>
        <color theme="1"/>
        <rFont val="Calibri"/>
        <family val="2"/>
      </rPr>
      <t xml:space="preserve"> = 21.8°</t>
    </r>
  </si>
  <si>
    <t xml:space="preserve"> ϑ </t>
  </si>
  <si>
    <t xml:space="preserve">cotg ϑ </t>
  </si>
  <si>
    <t>VRcd(45)</t>
  </si>
  <si>
    <t>VRcd(21.8)</t>
  </si>
  <si>
    <t>test</t>
  </si>
  <si>
    <t>cotg ϑ per Vsd=VRcd</t>
  </si>
  <si>
    <t>ϑ per Vsd=VRcd</t>
  </si>
  <si>
    <t>imponendo VRsd=Vsd e ϑ rottura contempor</t>
  </si>
  <si>
    <t>(ν*αc)/(cotg ϑ^2+1)</t>
  </si>
  <si>
    <t>rapporto area/passo staffa</t>
  </si>
  <si>
    <t>Asw/s</t>
  </si>
  <si>
    <t>ωsw*b*fcd/fyd</t>
  </si>
  <si>
    <t>si impone VRsd=Vsd e cotg ϑ = 2.5</t>
  </si>
  <si>
    <t>inversione eq.ne 4.1.18</t>
  </si>
  <si>
    <t>CASO 1</t>
  </si>
  <si>
    <t>CASO 2</t>
  </si>
  <si>
    <t>CASO 3</t>
  </si>
  <si>
    <t>noto Asw/s si vede in tabella quale combinazione è opportuna</t>
  </si>
  <si>
    <t>As,min</t>
  </si>
  <si>
    <t>s [mm]</t>
  </si>
  <si>
    <t>Asw (2fi) [mmq]</t>
  </si>
  <si>
    <t>rad(B^2-4AC)</t>
  </si>
  <si>
    <t>cotg ϑ (Isol)</t>
  </si>
  <si>
    <t>cotg ϑ (II sol)</t>
  </si>
  <si>
    <t>equazione secondo grado inversione formula taglio compressione</t>
  </si>
  <si>
    <t>ATTENZIONE A QUALE PRENDERE TRA LE 2 SOL</t>
  </si>
  <si>
    <t>SOL (+)</t>
  </si>
  <si>
    <t>SOL (-)</t>
  </si>
  <si>
    <t>nella tabella si considera una staffatura a due bracci.</t>
  </si>
  <si>
    <t xml:space="preserve"> Si può confrontare direttamente il valore in output con quelli in tabella se si adotta una staffatura siffatta</t>
  </si>
  <si>
    <t>MINIMI DA NORMATIVA</t>
  </si>
  <si>
    <t>1.5b</t>
  </si>
  <si>
    <t>mm2/m</t>
  </si>
  <si>
    <t>4.1.6.1.1</t>
  </si>
  <si>
    <t>passo massimo</t>
  </si>
  <si>
    <t>min(1/3;0.8d)</t>
  </si>
  <si>
    <t>-</t>
  </si>
  <si>
    <t>CD"A"</t>
  </si>
  <si>
    <r>
      <t>min(6</t>
    </r>
    <r>
      <rPr>
        <sz val="11"/>
        <color theme="1"/>
        <rFont val="Calibri"/>
        <family val="2"/>
      </rPr>
      <t>Øbarre;175;d/4;24Ø</t>
    </r>
    <r>
      <rPr>
        <sz val="11"/>
        <color theme="1"/>
        <rFont val="Calibri"/>
        <family val="2"/>
        <scheme val="minor"/>
      </rPr>
      <t>st)</t>
    </r>
  </si>
  <si>
    <t>diametro staffe</t>
  </si>
  <si>
    <t>diametro minimo armatura</t>
  </si>
  <si>
    <r>
      <t>min(8</t>
    </r>
    <r>
      <rPr>
        <sz val="11"/>
        <color theme="1"/>
        <rFont val="Calibri"/>
        <family val="2"/>
      </rPr>
      <t>Øbarre;225;d/4;24Ø</t>
    </r>
    <r>
      <rPr>
        <sz val="11"/>
        <color theme="1"/>
        <rFont val="Calibri"/>
        <family val="2"/>
        <scheme val="minor"/>
      </rPr>
      <t>st)</t>
    </r>
  </si>
  <si>
    <t>CD"B"</t>
  </si>
  <si>
    <t>ϑ*</t>
  </si>
  <si>
    <t>cotg ϑ*</t>
  </si>
  <si>
    <t>[MPa]</t>
  </si>
  <si>
    <t>[mm]</t>
  </si>
  <si>
    <t>[°]</t>
  </si>
  <si>
    <t>φ</t>
  </si>
  <si>
    <t>C8/10</t>
  </si>
  <si>
    <t>C12/15</t>
  </si>
  <si>
    <t>C16/20</t>
  </si>
  <si>
    <t>C20/25</t>
  </si>
  <si>
    <t>C25/30</t>
  </si>
  <si>
    <t>C35/45</t>
  </si>
  <si>
    <t>C40/50</t>
  </si>
  <si>
    <t>C45/55</t>
  </si>
  <si>
    <t>C50/60</t>
  </si>
  <si>
    <t>C60/75</t>
  </si>
  <si>
    <t>C70/85</t>
  </si>
  <si>
    <t>C80/95</t>
  </si>
  <si>
    <t>C90/105</t>
  </si>
  <si>
    <t>Passo minimo fuori zona critica</t>
  </si>
  <si>
    <t>Passo minimo in zona critica</t>
  </si>
  <si>
    <t>passo minimo</t>
  </si>
  <si>
    <t>3 al metro</t>
  </si>
  <si>
    <t>0.8d</t>
  </si>
  <si>
    <t>Classe di duttilità</t>
  </si>
  <si>
    <t>ND</t>
  </si>
  <si>
    <t>Taglio sollecitante</t>
  </si>
  <si>
    <t>Azione normale (&gt;0 compressione)</t>
  </si>
  <si>
    <t>lunghezza zona critica</t>
  </si>
  <si>
    <t>X</t>
  </si>
  <si>
    <t>LIMITI</t>
  </si>
  <si>
    <t>MPa</t>
  </si>
  <si>
    <t>125mm;175mm</t>
  </si>
  <si>
    <t>b/3, b/2</t>
  </si>
  <si>
    <t>rimossa</t>
  </si>
  <si>
    <t>15Ø</t>
  </si>
  <si>
    <t>barre compresse</t>
  </si>
  <si>
    <t>Tensione media di compressione</t>
  </si>
  <si>
    <r>
      <t>f</t>
    </r>
    <r>
      <rPr>
        <i/>
        <vertAlign val="subscript"/>
        <sz val="10"/>
        <color theme="1"/>
        <rFont val="Arial"/>
        <family val="2"/>
      </rPr>
      <t>cd</t>
    </r>
  </si>
  <si>
    <r>
      <t>f</t>
    </r>
    <r>
      <rPr>
        <i/>
        <vertAlign val="subscript"/>
        <sz val="10"/>
        <color theme="1"/>
        <rFont val="Arial"/>
        <family val="2"/>
      </rPr>
      <t>yd</t>
    </r>
  </si>
  <si>
    <r>
      <t>V</t>
    </r>
    <r>
      <rPr>
        <i/>
        <vertAlign val="subscript"/>
        <sz val="10"/>
        <color theme="1"/>
        <rFont val="Arial"/>
        <family val="2"/>
      </rPr>
      <t>sd</t>
    </r>
  </si>
  <si>
    <r>
      <t>N</t>
    </r>
    <r>
      <rPr>
        <i/>
        <vertAlign val="subscript"/>
        <sz val="10"/>
        <color theme="1"/>
        <rFont val="Arial"/>
        <family val="2"/>
      </rPr>
      <t>sd</t>
    </r>
  </si>
  <si>
    <r>
      <t>b</t>
    </r>
    <r>
      <rPr>
        <i/>
        <vertAlign val="subscript"/>
        <sz val="10"/>
        <color theme="1"/>
        <rFont val="Arial"/>
        <family val="2"/>
      </rPr>
      <t>w</t>
    </r>
  </si>
  <si>
    <r>
      <t>φ</t>
    </r>
    <r>
      <rPr>
        <vertAlign val="subscript"/>
        <sz val="10"/>
        <color theme="1"/>
        <rFont val="Arial"/>
        <family val="2"/>
      </rPr>
      <t>min</t>
    </r>
  </si>
  <si>
    <r>
      <t>n</t>
    </r>
    <r>
      <rPr>
        <i/>
        <vertAlign val="subscript"/>
        <sz val="10"/>
        <color theme="1"/>
        <rFont val="Arial"/>
        <family val="2"/>
      </rPr>
      <t>b</t>
    </r>
  </si>
  <si>
    <r>
      <t>A</t>
    </r>
    <r>
      <rPr>
        <i/>
        <vertAlign val="subscript"/>
        <sz val="10"/>
        <color theme="1"/>
        <rFont val="Arial"/>
        <family val="2"/>
      </rPr>
      <t>sw</t>
    </r>
  </si>
  <si>
    <r>
      <t>[mm</t>
    </r>
    <r>
      <rPr>
        <vertAlign val="superscript"/>
        <sz val="10"/>
        <color theme="1"/>
        <rFont val="Arial"/>
        <family val="2"/>
      </rPr>
      <t>2</t>
    </r>
    <r>
      <rPr>
        <sz val="10"/>
        <color theme="1"/>
        <rFont val="Arial"/>
        <family val="2"/>
      </rPr>
      <t>]</t>
    </r>
  </si>
  <si>
    <r>
      <t>f'</t>
    </r>
    <r>
      <rPr>
        <vertAlign val="subscript"/>
        <sz val="10"/>
        <color theme="1"/>
        <rFont val="Arial"/>
        <family val="2"/>
      </rPr>
      <t>cd</t>
    </r>
    <r>
      <rPr>
        <sz val="10"/>
        <color theme="1"/>
        <rFont val="Arial"/>
        <family val="2"/>
      </rPr>
      <t>/f</t>
    </r>
    <r>
      <rPr>
        <vertAlign val="subscript"/>
        <sz val="10"/>
        <color theme="1"/>
        <rFont val="Arial"/>
        <family val="2"/>
      </rPr>
      <t>cd</t>
    </r>
  </si>
  <si>
    <r>
      <t>σ</t>
    </r>
    <r>
      <rPr>
        <vertAlign val="subscript"/>
        <sz val="10"/>
        <color theme="1"/>
        <rFont val="Arial"/>
        <family val="2"/>
      </rPr>
      <t>cp</t>
    </r>
  </si>
  <si>
    <r>
      <t>α</t>
    </r>
    <r>
      <rPr>
        <vertAlign val="subscript"/>
        <sz val="10"/>
        <color theme="1"/>
        <rFont val="Arial"/>
        <family val="2"/>
      </rPr>
      <t>c</t>
    </r>
  </si>
  <si>
    <r>
      <t>ω</t>
    </r>
    <r>
      <rPr>
        <i/>
        <vertAlign val="subscript"/>
        <sz val="10"/>
        <color theme="1"/>
        <rFont val="Arial"/>
        <family val="2"/>
      </rPr>
      <t>sw</t>
    </r>
  </si>
  <si>
    <r>
      <t>(A</t>
    </r>
    <r>
      <rPr>
        <vertAlign val="subscript"/>
        <sz val="10"/>
        <color theme="1"/>
        <rFont val="Arial"/>
        <family val="2"/>
      </rPr>
      <t>s</t>
    </r>
    <r>
      <rPr>
        <sz val="10"/>
        <color theme="1"/>
        <rFont val="Arial"/>
        <family val="2"/>
      </rPr>
      <t>·f</t>
    </r>
    <r>
      <rPr>
        <vertAlign val="subscript"/>
        <sz val="10"/>
        <color theme="1"/>
        <rFont val="Arial"/>
        <family val="2"/>
      </rPr>
      <t>yd</t>
    </r>
    <r>
      <rPr>
        <sz val="10"/>
        <color theme="1"/>
        <rFont val="Arial"/>
        <family val="2"/>
      </rPr>
      <t>)/(b·s·f</t>
    </r>
    <r>
      <rPr>
        <vertAlign val="subscript"/>
        <sz val="10"/>
        <color theme="1"/>
        <rFont val="Arial"/>
        <family val="2"/>
      </rPr>
      <t>cd</t>
    </r>
    <r>
      <rPr>
        <sz val="10"/>
        <color theme="1"/>
        <rFont val="Arial"/>
        <family val="2"/>
      </rPr>
      <t>)</t>
    </r>
  </si>
  <si>
    <r>
      <t>radq(ν·α</t>
    </r>
    <r>
      <rPr>
        <vertAlign val="subscript"/>
        <sz val="10"/>
        <color theme="1"/>
        <rFont val="Arial"/>
        <family val="2"/>
      </rPr>
      <t>c</t>
    </r>
    <r>
      <rPr>
        <sz val="10"/>
        <color theme="1"/>
        <rFont val="Arial"/>
        <family val="2"/>
      </rPr>
      <t>/ω</t>
    </r>
    <r>
      <rPr>
        <vertAlign val="subscript"/>
        <sz val="10"/>
        <color theme="1"/>
        <rFont val="Arial"/>
        <family val="2"/>
      </rPr>
      <t>sw</t>
    </r>
    <r>
      <rPr>
        <sz val="10"/>
        <color theme="1"/>
        <rFont val="Arial"/>
        <family val="2"/>
      </rPr>
      <t>-1)</t>
    </r>
  </si>
  <si>
    <r>
      <t>6Ø</t>
    </r>
    <r>
      <rPr>
        <vertAlign val="subscript"/>
        <sz val="10"/>
        <color theme="1"/>
        <rFont val="Arial"/>
        <family val="2"/>
      </rPr>
      <t>min</t>
    </r>
    <r>
      <rPr>
        <sz val="10"/>
        <color theme="1"/>
        <rFont val="Arial"/>
        <family val="2"/>
      </rPr>
      <t>;8Ø</t>
    </r>
    <r>
      <rPr>
        <vertAlign val="subscript"/>
        <sz val="10"/>
        <color theme="1"/>
        <rFont val="Arial"/>
        <family val="2"/>
      </rPr>
      <t>min</t>
    </r>
  </si>
  <si>
    <r>
      <t>24Ø</t>
    </r>
    <r>
      <rPr>
        <vertAlign val="subscript"/>
        <sz val="10"/>
        <color theme="1"/>
        <rFont val="Arial"/>
        <family val="2"/>
      </rPr>
      <t>st</t>
    </r>
    <r>
      <rPr>
        <sz val="8"/>
        <color theme="1"/>
        <rFont val="Symbol"/>
        <family val="1"/>
        <charset val="2"/>
      </rPr>
      <t/>
    </r>
  </si>
  <si>
    <r>
      <t>V</t>
    </r>
    <r>
      <rPr>
        <i/>
        <vertAlign val="subscript"/>
        <sz val="10"/>
        <color theme="1"/>
        <rFont val="Arial"/>
        <family val="2"/>
      </rPr>
      <t>Rsd</t>
    </r>
  </si>
  <si>
    <r>
      <t>V</t>
    </r>
    <r>
      <rPr>
        <i/>
        <vertAlign val="subscript"/>
        <sz val="10"/>
        <color theme="1"/>
        <rFont val="Arial"/>
        <family val="2"/>
      </rPr>
      <t>Rcd</t>
    </r>
  </si>
  <si>
    <t>§4.1.2.3.5.2</t>
  </si>
  <si>
    <t>Resistenza di snervamento di progetto armatura</t>
  </si>
  <si>
    <t>Resistenza di calcolo a taglio-compressione</t>
  </si>
  <si>
    <t>Resistenza di calcolo a taglio-trazione</t>
  </si>
  <si>
    <t>Sfruttamento</t>
  </si>
  <si>
    <t>Calcestruzzo</t>
  </si>
  <si>
    <t>Azioni</t>
  </si>
  <si>
    <t>Geometria sezione</t>
  </si>
  <si>
    <t>Staffatura</t>
  </si>
  <si>
    <t>Inclinazione puntone</t>
  </si>
  <si>
    <t>Verifica a taglio</t>
  </si>
  <si>
    <t>Coefficiente riduttivo cls</t>
  </si>
  <si>
    <t>Coefficiente azione assiale</t>
  </si>
  <si>
    <t>Angolo di contemporanea crisi</t>
  </si>
  <si>
    <t>c</t>
  </si>
  <si>
    <t>Diametro min armatura longitudinale</t>
  </si>
  <si>
    <t>Passo massimo secondo le NTC</t>
  </si>
  <si>
    <t>Diametro staffa</t>
  </si>
  <si>
    <t>Numero braccia</t>
  </si>
  <si>
    <t>Sezione complessiva</t>
  </si>
  <si>
    <t>Passo staffe</t>
  </si>
  <si>
    <t xml:space="preserve">Inclinazione ferro </t>
  </si>
  <si>
    <t>Larghezza reagente</t>
  </si>
  <si>
    <t>Altezza della sezione</t>
  </si>
  <si>
    <t>Copriferro</t>
  </si>
  <si>
    <t>Altezza utile</t>
  </si>
  <si>
    <t>Verifica a taglio DM 17/01/18 - elementi armati a taglio</t>
  </si>
  <si>
    <t>Resistenza cilindrica di progetto</t>
  </si>
  <si>
    <t>COLLEGAMENTI RAPIDI</t>
  </si>
  <si>
    <t>REVISION</t>
  </si>
  <si>
    <t>R00</t>
  </si>
  <si>
    <t>R01</t>
  </si>
  <si>
    <t>R02</t>
  </si>
  <si>
    <t>DATE</t>
  </si>
  <si>
    <t>COMP.</t>
  </si>
  <si>
    <t>MC/ADC/BA</t>
  </si>
  <si>
    <t>NOTE</t>
  </si>
  <si>
    <t>Classe di resistenza a compressione</t>
  </si>
  <si>
    <t>Resistenza caratteristica cilindrica minima</t>
  </si>
  <si>
    <t>Resistenza caratteristica cubica minima</t>
  </si>
  <si>
    <r>
      <t>f</t>
    </r>
    <r>
      <rPr>
        <i/>
        <sz val="7"/>
        <rFont val="Arial"/>
        <family val="2"/>
      </rPr>
      <t>ck,cyl</t>
    </r>
    <r>
      <rPr>
        <sz val="10"/>
        <rFont val="Arial"/>
        <family val="2"/>
      </rPr>
      <t>  [N/mm</t>
    </r>
    <r>
      <rPr>
        <sz val="7"/>
        <rFont val="Arial"/>
        <family val="2"/>
      </rPr>
      <t>2</t>
    </r>
    <r>
      <rPr>
        <sz val="10"/>
        <rFont val="Arial"/>
        <family val="2"/>
      </rPr>
      <t>]</t>
    </r>
  </si>
  <si>
    <r>
      <t>f</t>
    </r>
    <r>
      <rPr>
        <i/>
        <sz val="7"/>
        <rFont val="Arial"/>
        <family val="2"/>
      </rPr>
      <t>ck,cube</t>
    </r>
    <r>
      <rPr>
        <sz val="10"/>
        <rFont val="Arial"/>
        <family val="2"/>
      </rPr>
      <t>  [N/mm</t>
    </r>
    <r>
      <rPr>
        <sz val="7"/>
        <rFont val="Arial"/>
        <family val="2"/>
      </rPr>
      <t>2</t>
    </r>
    <r>
      <rPr>
        <sz val="10"/>
        <rFont val="Arial"/>
        <family val="2"/>
      </rPr>
      <t>]</t>
    </r>
  </si>
  <si>
    <t>C55/67</t>
  </si>
  <si>
    <t>C100/115</t>
  </si>
  <si>
    <t>Resistenza cubica caratteristica</t>
  </si>
  <si>
    <r>
      <t>R</t>
    </r>
    <r>
      <rPr>
        <i/>
        <vertAlign val="subscript"/>
        <sz val="10"/>
        <rFont val="Arial"/>
        <family val="2"/>
      </rPr>
      <t>ck</t>
    </r>
  </si>
  <si>
    <t>Resistenza cilindrica caratteristica</t>
  </si>
  <si>
    <r>
      <t>f</t>
    </r>
    <r>
      <rPr>
        <i/>
        <vertAlign val="subscript"/>
        <sz val="10"/>
        <rFont val="Arial"/>
        <family val="2"/>
      </rPr>
      <t>ck</t>
    </r>
  </si>
  <si>
    <t>Coeff parziale sicurezza cls</t>
  </si>
  <si>
    <r>
      <t>γ</t>
    </r>
    <r>
      <rPr>
        <i/>
        <vertAlign val="subscript"/>
        <sz val="10"/>
        <rFont val="Arial"/>
        <family val="2"/>
      </rPr>
      <t>c</t>
    </r>
  </si>
  <si>
    <r>
      <t>V</t>
    </r>
    <r>
      <rPr>
        <i/>
        <vertAlign val="subscript"/>
        <sz val="10"/>
        <rFont val="Arial"/>
        <family val="2"/>
      </rPr>
      <t>Ed</t>
    </r>
    <r>
      <rPr>
        <i/>
        <sz val="10"/>
        <rFont val="Arial"/>
        <family val="2"/>
      </rPr>
      <t xml:space="preserve"> / V</t>
    </r>
    <r>
      <rPr>
        <i/>
        <vertAlign val="subscript"/>
        <sz val="10"/>
        <rFont val="Arial"/>
        <family val="2"/>
      </rPr>
      <t>Rd</t>
    </r>
    <r>
      <rPr>
        <i/>
        <sz val="10"/>
        <rFont val="Arial"/>
        <family val="2"/>
      </rPr>
      <t xml:space="preserve"> </t>
    </r>
  </si>
  <si>
    <t>CELLE EDITABILI</t>
  </si>
  <si>
    <t>C32/40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</si>
</sst>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35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Times New Roman"/>
      <family val="1"/>
    </font>
    <font>
      <vertAlign val="superscript"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sz val="9.35"/>
      <color theme="1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4"/>
      <color rgb="FFFF0000"/>
      <name val="Courier New"/>
      <family val="3"/>
    </font>
    <font>
      <b/>
      <sz val="12"/>
      <color theme="1"/>
      <name val="Calibri"/>
      <family val="2"/>
      <scheme val="minor"/>
    </font>
    <font>
      <sz val="8"/>
      <color theme="1"/>
      <name val="Symbol"/>
      <family val="1"/>
      <charset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theme="1"/>
      <name val="Arial"/>
      <family val="2"/>
    </font>
    <font>
      <sz val="10"/>
      <color theme="0"/>
      <name val="Arial"/>
      <family val="2"/>
    </font>
    <font>
      <i/>
      <vertAlign val="subscript"/>
      <sz val="10"/>
      <color theme="1"/>
      <name val="Arial"/>
      <family val="2"/>
    </font>
    <font>
      <b/>
      <sz val="10"/>
      <color theme="1"/>
      <name val="Arial"/>
      <family val="2"/>
    </font>
    <font>
      <vertAlign val="subscript"/>
      <sz val="10"/>
      <color theme="1"/>
      <name val="Arial"/>
      <family val="2"/>
    </font>
    <font>
      <vertAlign val="superscript"/>
      <sz val="10"/>
      <color theme="1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b/>
      <i/>
      <sz val="10"/>
      <color theme="1"/>
      <name val="Arial"/>
      <family val="2"/>
    </font>
    <font>
      <sz val="10"/>
      <color theme="1"/>
      <name val="Arial "/>
    </font>
    <font>
      <sz val="11"/>
      <color theme="1"/>
      <name val="Arial Narrow"/>
      <family val="2"/>
    </font>
    <font>
      <u/>
      <sz val="10"/>
      <color theme="10"/>
      <name val="Arial"/>
      <family val="2"/>
    </font>
    <font>
      <i/>
      <sz val="7"/>
      <name val="Arial"/>
      <family val="2"/>
    </font>
    <font>
      <sz val="7"/>
      <name val="Arial"/>
      <family val="2"/>
    </font>
    <font>
      <i/>
      <vertAlign val="subscript"/>
      <sz val="10"/>
      <name val="Arial"/>
      <family val="2"/>
    </font>
    <font>
      <b/>
      <sz val="10"/>
      <color rgb="FFFF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theme="0" tint="-0.34998626667073579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indexed="64"/>
      </bottom>
      <diagonal/>
    </border>
    <border>
      <left style="thin">
        <color theme="0" tint="-0.34998626667073579"/>
      </left>
      <right style="thin">
        <color indexed="64"/>
      </right>
      <top style="thin">
        <color theme="0" tint="-0.34998626667073579"/>
      </top>
      <bottom style="thin">
        <color indexed="64"/>
      </bottom>
      <diagonal/>
    </border>
    <border>
      <left style="medium">
        <color rgb="FFE1E1E1"/>
      </left>
      <right style="medium">
        <color rgb="FFE1E1E1"/>
      </right>
      <top/>
      <bottom/>
      <diagonal/>
    </border>
    <border>
      <left/>
      <right style="medium">
        <color rgb="FFE1E1E1"/>
      </right>
      <top/>
      <bottom/>
      <diagonal/>
    </border>
    <border>
      <left style="medium">
        <color rgb="FFE1E1E1"/>
      </left>
      <right style="medium">
        <color rgb="FFE1E1E1"/>
      </right>
      <top/>
      <bottom style="medium">
        <color rgb="FFE1E1E1"/>
      </bottom>
      <diagonal/>
    </border>
    <border>
      <left/>
      <right style="medium">
        <color rgb="FFE1E1E1"/>
      </right>
      <top/>
      <bottom style="medium">
        <color rgb="FFE1E1E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>
      <protection locked="0"/>
    </xf>
    <xf numFmtId="9" fontId="15" fillId="0" borderId="0" applyFont="0" applyFill="0" applyBorder="0" applyAlignment="0" applyProtection="0"/>
    <xf numFmtId="0" fontId="30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8" xfId="0" applyBorder="1"/>
    <xf numFmtId="0" fontId="0" fillId="0" borderId="6" xfId="0" applyBorder="1"/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1" xfId="0" applyBorder="1"/>
    <xf numFmtId="0" fontId="0" fillId="0" borderId="4" xfId="0" applyBorder="1"/>
    <xf numFmtId="0" fontId="0" fillId="4" borderId="0" xfId="0" applyFill="1"/>
    <xf numFmtId="0" fontId="0" fillId="0" borderId="7" xfId="0" applyBorder="1"/>
    <xf numFmtId="0" fontId="0" fillId="5" borderId="7" xfId="0" applyFill="1" applyBorder="1"/>
    <xf numFmtId="0" fontId="5" fillId="0" borderId="0" xfId="0" applyFont="1"/>
    <xf numFmtId="0" fontId="5" fillId="0" borderId="3" xfId="0" applyFont="1" applyBorder="1"/>
    <xf numFmtId="0" fontId="4" fillId="3" borderId="7" xfId="0" applyFont="1" applyFill="1" applyBorder="1"/>
    <xf numFmtId="0" fontId="0" fillId="3" borderId="7" xfId="0" applyFill="1" applyBorder="1"/>
    <xf numFmtId="0" fontId="0" fillId="7" borderId="7" xfId="0" applyFill="1" applyBorder="1"/>
    <xf numFmtId="164" fontId="0" fillId="0" borderId="0" xfId="0" applyNumberFormat="1"/>
    <xf numFmtId="0" fontId="0" fillId="0" borderId="5" xfId="0" applyBorder="1" applyAlignment="1">
      <alignment vertical="center"/>
    </xf>
    <xf numFmtId="2" fontId="0" fillId="0" borderId="0" xfId="0" applyNumberFormat="1"/>
    <xf numFmtId="0" fontId="0" fillId="0" borderId="4" xfId="0" applyBorder="1" applyAlignment="1">
      <alignment vertical="center"/>
    </xf>
    <xf numFmtId="0" fontId="0" fillId="3" borderId="4" xfId="0" applyFill="1" applyBorder="1"/>
    <xf numFmtId="0" fontId="4" fillId="0" borderId="1" xfId="0" applyFont="1" applyBorder="1"/>
    <xf numFmtId="2" fontId="0" fillId="3" borderId="0" xfId="0" applyNumberFormat="1" applyFill="1"/>
    <xf numFmtId="0" fontId="0" fillId="0" borderId="1" xfId="0" applyBorder="1" applyAlignment="1">
      <alignment vertical="center"/>
    </xf>
    <xf numFmtId="0" fontId="0" fillId="5" borderId="7" xfId="0" applyFill="1" applyBorder="1" applyAlignment="1">
      <alignment vertical="center"/>
    </xf>
    <xf numFmtId="0" fontId="12" fillId="8" borderId="10" xfId="1" applyFont="1" applyFill="1" applyBorder="1" applyAlignment="1">
      <alignment horizontal="center" vertical="center"/>
      <protection locked="0"/>
    </xf>
    <xf numFmtId="0" fontId="1" fillId="8" borderId="9" xfId="0" applyFont="1" applyFill="1" applyBorder="1"/>
    <xf numFmtId="0" fontId="1" fillId="8" borderId="11" xfId="0" applyFont="1" applyFill="1" applyBorder="1"/>
    <xf numFmtId="0" fontId="0" fillId="6" borderId="2" xfId="0" applyFill="1" applyBorder="1"/>
    <xf numFmtId="0" fontId="5" fillId="6" borderId="3" xfId="0" applyFont="1" applyFill="1" applyBorder="1"/>
    <xf numFmtId="0" fontId="0" fillId="6" borderId="3" xfId="0" applyFill="1" applyBorder="1"/>
    <xf numFmtId="0" fontId="7" fillId="0" borderId="0" xfId="0" applyFont="1" applyAlignment="1">
      <alignment vertical="center" wrapText="1"/>
    </xf>
    <xf numFmtId="0" fontId="0" fillId="2" borderId="0" xfId="0" applyFill="1"/>
    <xf numFmtId="0" fontId="0" fillId="2" borderId="1" xfId="0" applyFill="1" applyBorder="1"/>
    <xf numFmtId="0" fontId="0" fillId="2" borderId="4" xfId="0" applyFill="1" applyBorder="1"/>
    <xf numFmtId="0" fontId="0" fillId="2" borderId="2" xfId="0" applyFill="1" applyBorder="1"/>
    <xf numFmtId="0" fontId="5" fillId="2" borderId="3" xfId="0" applyFont="1" applyFill="1" applyBorder="1"/>
    <xf numFmtId="0" fontId="0" fillId="2" borderId="3" xfId="0" applyFill="1" applyBorder="1"/>
    <xf numFmtId="0" fontId="0" fillId="2" borderId="5" xfId="0" applyFill="1" applyBorder="1"/>
    <xf numFmtId="0" fontId="10" fillId="2" borderId="0" xfId="0" applyFont="1" applyFill="1" applyAlignment="1">
      <alignment vertical="center"/>
    </xf>
    <xf numFmtId="0" fontId="7" fillId="2" borderId="0" xfId="0" applyFont="1" applyFill="1"/>
    <xf numFmtId="0" fontId="0" fillId="2" borderId="8" xfId="0" applyFill="1" applyBorder="1"/>
    <xf numFmtId="0" fontId="0" fillId="2" borderId="6" xfId="0" applyFill="1" applyBorder="1"/>
    <xf numFmtId="0" fontId="8" fillId="2" borderId="0" xfId="0" applyFont="1" applyFill="1"/>
    <xf numFmtId="0" fontId="0" fillId="2" borderId="1" xfId="0" applyFill="1" applyBorder="1" applyAlignment="1">
      <alignment vertical="center" wrapText="1"/>
    </xf>
    <xf numFmtId="0" fontId="0" fillId="2" borderId="0" xfId="0" applyFill="1" applyAlignment="1">
      <alignment vertical="center" wrapText="1"/>
    </xf>
    <xf numFmtId="0" fontId="5" fillId="2" borderId="0" xfId="0" applyFont="1" applyFill="1"/>
    <xf numFmtId="0" fontId="1" fillId="8" borderId="15" xfId="0" applyFont="1" applyFill="1" applyBorder="1"/>
    <xf numFmtId="0" fontId="7" fillId="2" borderId="0" xfId="0" applyFont="1" applyFill="1" applyAlignment="1">
      <alignment vertical="center" wrapText="1"/>
    </xf>
    <xf numFmtId="0" fontId="1" fillId="2" borderId="0" xfId="0" applyFont="1" applyFill="1"/>
    <xf numFmtId="2" fontId="0" fillId="6" borderId="3" xfId="0" applyNumberFormat="1" applyFill="1" applyBorder="1"/>
    <xf numFmtId="2" fontId="1" fillId="8" borderId="9" xfId="0" applyNumberFormat="1" applyFont="1" applyFill="1" applyBorder="1"/>
    <xf numFmtId="2" fontId="0" fillId="0" borderId="9" xfId="0" applyNumberFormat="1" applyBorder="1"/>
    <xf numFmtId="0" fontId="8" fillId="0" borderId="4" xfId="0" applyFont="1" applyBorder="1" applyAlignment="1">
      <alignment vertical="center"/>
    </xf>
    <xf numFmtId="2" fontId="0" fillId="4" borderId="3" xfId="0" applyNumberFormat="1" applyFill="1" applyBorder="1"/>
    <xf numFmtId="0" fontId="0" fillId="3" borderId="3" xfId="0" applyFill="1" applyBorder="1"/>
    <xf numFmtId="0" fontId="0" fillId="0" borderId="3" xfId="0" applyBorder="1" applyAlignment="1">
      <alignment vertical="center"/>
    </xf>
    <xf numFmtId="2" fontId="0" fillId="0" borderId="3" xfId="0" applyNumberFormat="1" applyBorder="1" applyAlignment="1">
      <alignment vertical="center"/>
    </xf>
    <xf numFmtId="0" fontId="0" fillId="2" borderId="0" xfId="0" applyFill="1" applyAlignment="1">
      <alignment horizontal="right" vertical="center"/>
    </xf>
    <xf numFmtId="0" fontId="0" fillId="2" borderId="0" xfId="0" applyFill="1" applyAlignment="1">
      <alignment horizontal="right"/>
    </xf>
    <xf numFmtId="0" fontId="8" fillId="0" borderId="5" xfId="0" applyFont="1" applyBorder="1" applyAlignment="1">
      <alignment vertical="center"/>
    </xf>
    <xf numFmtId="0" fontId="9" fillId="2" borderId="0" xfId="0" applyFont="1" applyFill="1"/>
    <xf numFmtId="0" fontId="0" fillId="2" borderId="0" xfId="0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vertical="center"/>
    </xf>
    <xf numFmtId="164" fontId="0" fillId="2" borderId="0" xfId="0" applyNumberFormat="1" applyFill="1"/>
    <xf numFmtId="0" fontId="8" fillId="2" borderId="4" xfId="0" applyFont="1" applyFill="1" applyBorder="1" applyAlignment="1">
      <alignment vertical="center"/>
    </xf>
    <xf numFmtId="0" fontId="0" fillId="2" borderId="5" xfId="0" applyFill="1" applyBorder="1" applyAlignment="1">
      <alignment vertical="center"/>
    </xf>
    <xf numFmtId="0" fontId="0" fillId="2" borderId="1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2" fontId="0" fillId="2" borderId="3" xfId="0" applyNumberFormat="1" applyFill="1" applyBorder="1" applyAlignment="1">
      <alignment vertical="center"/>
    </xf>
    <xf numFmtId="0" fontId="8" fillId="2" borderId="5" xfId="0" applyFont="1" applyFill="1" applyBorder="1" applyAlignment="1">
      <alignment vertical="center"/>
    </xf>
    <xf numFmtId="2" fontId="0" fillId="2" borderId="0" xfId="0" applyNumberFormat="1" applyFill="1"/>
    <xf numFmtId="0" fontId="0" fillId="2" borderId="7" xfId="0" applyFill="1" applyBorder="1"/>
    <xf numFmtId="0" fontId="0" fillId="2" borderId="4" xfId="0" applyFill="1" applyBorder="1" applyAlignment="1">
      <alignment horizontal="center" vertical="center"/>
    </xf>
    <xf numFmtId="0" fontId="8" fillId="2" borderId="3" xfId="0" applyFont="1" applyFill="1" applyBorder="1"/>
    <xf numFmtId="0" fontId="0" fillId="5" borderId="16" xfId="0" applyFill="1" applyBorder="1" applyAlignment="1">
      <alignment vertical="center"/>
    </xf>
    <xf numFmtId="0" fontId="0" fillId="2" borderId="17" xfId="0" applyFill="1" applyBorder="1"/>
    <xf numFmtId="0" fontId="0" fillId="2" borderId="18" xfId="0" applyFill="1" applyBorder="1"/>
    <xf numFmtId="0" fontId="16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20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right" vertical="center"/>
    </xf>
    <xf numFmtId="0" fontId="16" fillId="2" borderId="0" xfId="0" applyFont="1" applyFill="1" applyAlignment="1">
      <alignment vertical="center"/>
    </xf>
    <xf numFmtId="0" fontId="18" fillId="0" borderId="19" xfId="0" applyFont="1" applyBorder="1" applyAlignment="1">
      <alignment vertical="center"/>
    </xf>
    <xf numFmtId="0" fontId="16" fillId="0" borderId="25" xfId="0" applyFont="1" applyBorder="1" applyAlignment="1">
      <alignment vertical="center"/>
    </xf>
    <xf numFmtId="0" fontId="16" fillId="0" borderId="24" xfId="0" applyFont="1" applyBorder="1" applyAlignment="1">
      <alignment vertical="center"/>
    </xf>
    <xf numFmtId="0" fontId="16" fillId="0" borderId="15" xfId="0" applyFont="1" applyBorder="1" applyAlignment="1">
      <alignment vertical="center"/>
    </xf>
    <xf numFmtId="0" fontId="16" fillId="0" borderId="20" xfId="0" applyFont="1" applyBorder="1" applyAlignment="1">
      <alignment vertical="center"/>
    </xf>
    <xf numFmtId="0" fontId="16" fillId="0" borderId="21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16" fillId="0" borderId="21" xfId="0" applyFont="1" applyBorder="1" applyAlignment="1">
      <alignment horizontal="right" vertical="center"/>
    </xf>
    <xf numFmtId="0" fontId="16" fillId="2" borderId="0" xfId="0" applyFont="1" applyFill="1" applyAlignment="1">
      <alignment horizontal="center" vertical="center"/>
    </xf>
    <xf numFmtId="0" fontId="16" fillId="2" borderId="20" xfId="0" applyFont="1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6" fillId="2" borderId="21" xfId="0" applyFont="1" applyFill="1" applyBorder="1" applyAlignment="1">
      <alignment vertical="center"/>
    </xf>
    <xf numFmtId="0" fontId="19" fillId="2" borderId="0" xfId="0" applyFont="1" applyFill="1" applyAlignment="1">
      <alignment horizontal="center" vertical="center"/>
    </xf>
    <xf numFmtId="0" fontId="16" fillId="0" borderId="0" xfId="0" applyFont="1" applyAlignment="1">
      <alignment horizontal="left" vertical="center"/>
    </xf>
    <xf numFmtId="165" fontId="22" fillId="0" borderId="0" xfId="0" applyNumberFormat="1" applyFont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16" fillId="0" borderId="23" xfId="0" applyFont="1" applyBorder="1" applyAlignment="1">
      <alignment vertical="center"/>
    </xf>
    <xf numFmtId="0" fontId="16" fillId="0" borderId="19" xfId="0" applyFont="1" applyBorder="1" applyAlignment="1">
      <alignment vertical="center"/>
    </xf>
    <xf numFmtId="0" fontId="19" fillId="0" borderId="22" xfId="0" applyFont="1" applyBorder="1" applyAlignment="1">
      <alignment horizontal="center" vertical="center"/>
    </xf>
    <xf numFmtId="0" fontId="26" fillId="0" borderId="19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9" fontId="28" fillId="0" borderId="0" xfId="2" applyFont="1" applyBorder="1" applyAlignment="1">
      <alignment horizontal="center" vertical="center"/>
    </xf>
    <xf numFmtId="2" fontId="17" fillId="9" borderId="0" xfId="0" applyNumberFormat="1" applyFont="1" applyFill="1" applyAlignment="1">
      <alignment horizontal="center" vertical="center"/>
    </xf>
    <xf numFmtId="0" fontId="16" fillId="0" borderId="24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" fontId="16" fillId="2" borderId="0" xfId="0" applyNumberFormat="1" applyFont="1" applyFill="1" applyAlignment="1">
      <alignment horizontal="center" vertical="center"/>
    </xf>
    <xf numFmtId="2" fontId="16" fillId="2" borderId="0" xfId="0" applyNumberFormat="1" applyFont="1" applyFill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" fontId="17" fillId="9" borderId="0" xfId="0" applyNumberFormat="1" applyFont="1" applyFill="1" applyAlignment="1">
      <alignment horizontal="center" vertical="center"/>
    </xf>
    <xf numFmtId="0" fontId="16" fillId="0" borderId="26" xfId="0" applyFont="1" applyBorder="1" applyAlignment="1">
      <alignment vertical="center"/>
    </xf>
    <xf numFmtId="0" fontId="17" fillId="10" borderId="0" xfId="0" applyFont="1" applyFill="1" applyAlignment="1">
      <alignment vertical="center"/>
    </xf>
    <xf numFmtId="0" fontId="16" fillId="10" borderId="0" xfId="0" applyFont="1" applyFill="1" applyAlignment="1">
      <alignment vertical="center"/>
    </xf>
    <xf numFmtId="0" fontId="17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left" vertical="center"/>
    </xf>
    <xf numFmtId="0" fontId="22" fillId="10" borderId="19" xfId="0" applyFont="1" applyFill="1" applyBorder="1" applyAlignment="1">
      <alignment vertical="center"/>
    </xf>
    <xf numFmtId="0" fontId="22" fillId="10" borderId="19" xfId="0" applyFont="1" applyFill="1" applyBorder="1" applyAlignment="1">
      <alignment horizontal="right" vertical="center"/>
    </xf>
    <xf numFmtId="1" fontId="16" fillId="10" borderId="0" xfId="0" applyNumberFormat="1" applyFont="1" applyFill="1" applyAlignment="1">
      <alignment vertical="center"/>
    </xf>
    <xf numFmtId="0" fontId="16" fillId="10" borderId="0" xfId="0" applyFont="1" applyFill="1" applyAlignment="1">
      <alignment horizontal="right" vertical="center"/>
    </xf>
    <xf numFmtId="0" fontId="22" fillId="10" borderId="19" xfId="0" applyFont="1" applyFill="1" applyBorder="1" applyAlignment="1">
      <alignment horizontal="center" vertical="center"/>
    </xf>
    <xf numFmtId="165" fontId="16" fillId="10" borderId="0" xfId="0" applyNumberFormat="1" applyFont="1" applyFill="1" applyAlignment="1">
      <alignment horizontal="center" vertical="center"/>
    </xf>
    <xf numFmtId="1" fontId="16" fillId="10" borderId="0" xfId="0" applyNumberFormat="1" applyFont="1" applyFill="1" applyAlignment="1">
      <alignment horizontal="center" vertical="center"/>
    </xf>
    <xf numFmtId="2" fontId="25" fillId="10" borderId="0" xfId="0" applyNumberFormat="1" applyFont="1" applyFill="1" applyAlignment="1">
      <alignment vertical="center"/>
    </xf>
    <xf numFmtId="0" fontId="16" fillId="10" borderId="9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left" vertical="center"/>
    </xf>
    <xf numFmtId="165" fontId="16" fillId="10" borderId="9" xfId="0" applyNumberFormat="1" applyFont="1" applyFill="1" applyBorder="1" applyAlignment="1">
      <alignment horizontal="center" vertical="center"/>
    </xf>
    <xf numFmtId="0" fontId="22" fillId="10" borderId="0" xfId="0" applyFont="1" applyFill="1" applyAlignment="1">
      <alignment vertical="center"/>
    </xf>
    <xf numFmtId="0" fontId="19" fillId="10" borderId="0" xfId="0" applyFont="1" applyFill="1" applyAlignment="1">
      <alignment horizontal="left" vertical="center"/>
    </xf>
    <xf numFmtId="0" fontId="19" fillId="10" borderId="0" xfId="0" applyFont="1" applyFill="1" applyAlignment="1">
      <alignment horizontal="center" vertical="center"/>
    </xf>
    <xf numFmtId="0" fontId="16" fillId="10" borderId="0" xfId="0" applyFont="1" applyFill="1" applyAlignment="1">
      <alignment horizontal="center" vertical="center"/>
    </xf>
    <xf numFmtId="165" fontId="22" fillId="10" borderId="0" xfId="0" applyNumberFormat="1" applyFont="1" applyFill="1" applyAlignment="1">
      <alignment horizontal="center" vertical="center"/>
    </xf>
    <xf numFmtId="2" fontId="17" fillId="10" borderId="0" xfId="0" applyNumberFormat="1" applyFont="1" applyFill="1" applyAlignment="1">
      <alignment horizontal="center" vertical="center"/>
    </xf>
    <xf numFmtId="2" fontId="16" fillId="10" borderId="0" xfId="0" applyNumberFormat="1" applyFont="1" applyFill="1" applyAlignment="1">
      <alignment horizontal="center" vertical="center"/>
    </xf>
    <xf numFmtId="2" fontId="17" fillId="10" borderId="20" xfId="0" applyNumberFormat="1" applyFont="1" applyFill="1" applyBorder="1" applyAlignment="1">
      <alignment horizontal="center" vertical="center"/>
    </xf>
    <xf numFmtId="2" fontId="16" fillId="10" borderId="21" xfId="0" applyNumberFormat="1" applyFont="1" applyFill="1" applyBorder="1" applyAlignment="1">
      <alignment horizontal="center" vertical="center"/>
    </xf>
    <xf numFmtId="2" fontId="17" fillId="10" borderId="21" xfId="0" applyNumberFormat="1" applyFont="1" applyFill="1" applyBorder="1" applyAlignment="1">
      <alignment horizontal="center" vertical="center"/>
    </xf>
    <xf numFmtId="2" fontId="17" fillId="10" borderId="23" xfId="0" applyNumberFormat="1" applyFont="1" applyFill="1" applyBorder="1" applyAlignment="1">
      <alignment horizontal="center" vertical="center"/>
    </xf>
    <xf numFmtId="2" fontId="17" fillId="10" borderId="22" xfId="0" applyNumberFormat="1" applyFont="1" applyFill="1" applyBorder="1" applyAlignment="1">
      <alignment horizontal="center" vertical="center"/>
    </xf>
    <xf numFmtId="0" fontId="25" fillId="10" borderId="0" xfId="0" applyFont="1" applyFill="1" applyAlignment="1">
      <alignment horizontal="center" vertical="center"/>
    </xf>
    <xf numFmtId="2" fontId="25" fillId="10" borderId="0" xfId="0" applyNumberFormat="1" applyFont="1" applyFill="1" applyAlignment="1">
      <alignment horizontal="center" vertical="center"/>
    </xf>
    <xf numFmtId="0" fontId="18" fillId="10" borderId="19" xfId="0" applyFont="1" applyFill="1" applyBorder="1" applyAlignment="1">
      <alignment horizontal="center" vertical="center"/>
    </xf>
    <xf numFmtId="2" fontId="16" fillId="10" borderId="0" xfId="0" applyNumberFormat="1" applyFont="1" applyFill="1" applyAlignment="1">
      <alignment vertical="center"/>
    </xf>
    <xf numFmtId="0" fontId="20" fillId="10" borderId="0" xfId="0" applyFont="1" applyFill="1" applyAlignment="1">
      <alignment horizontal="center" vertical="center"/>
    </xf>
    <xf numFmtId="11" fontId="16" fillId="10" borderId="0" xfId="0" applyNumberFormat="1" applyFont="1" applyFill="1" applyAlignment="1">
      <alignment vertical="center"/>
    </xf>
    <xf numFmtId="0" fontId="29" fillId="0" borderId="0" xfId="0" applyFont="1" applyAlignment="1">
      <alignment horizontal="center" vertical="center"/>
    </xf>
    <xf numFmtId="0" fontId="17" fillId="9" borderId="20" xfId="0" applyFont="1" applyFill="1" applyBorder="1"/>
    <xf numFmtId="0" fontId="17" fillId="9" borderId="0" xfId="0" applyFont="1" applyFill="1" applyAlignment="1">
      <alignment horizontal="center"/>
    </xf>
    <xf numFmtId="0" fontId="17" fillId="11" borderId="25" xfId="0" applyFont="1" applyFill="1" applyBorder="1" applyAlignment="1">
      <alignment horizontal="center"/>
    </xf>
    <xf numFmtId="0" fontId="17" fillId="11" borderId="26" xfId="0" applyFont="1" applyFill="1" applyBorder="1"/>
    <xf numFmtId="0" fontId="17" fillId="11" borderId="15" xfId="0" applyFont="1" applyFill="1" applyBorder="1"/>
    <xf numFmtId="0" fontId="17" fillId="9" borderId="0" xfId="0" applyFont="1" applyFill="1"/>
    <xf numFmtId="0" fontId="17" fillId="9" borderId="21" xfId="0" applyFont="1" applyFill="1" applyBorder="1"/>
    <xf numFmtId="0" fontId="17" fillId="10" borderId="0" xfId="0" applyFont="1" applyFill="1"/>
    <xf numFmtId="0" fontId="17" fillId="11" borderId="9" xfId="0" applyFont="1" applyFill="1" applyBorder="1" applyAlignment="1">
      <alignment horizontal="left"/>
    </xf>
    <xf numFmtId="0" fontId="17" fillId="11" borderId="9" xfId="0" applyFont="1" applyFill="1" applyBorder="1" applyAlignment="1">
      <alignment horizontal="center"/>
    </xf>
    <xf numFmtId="0" fontId="17" fillId="11" borderId="20" xfId="0" applyFont="1" applyFill="1" applyBorder="1" applyAlignment="1">
      <alignment horizontal="center"/>
    </xf>
    <xf numFmtId="0" fontId="30" fillId="11" borderId="0" xfId="3" applyFill="1" applyBorder="1" applyAlignment="1" applyProtection="1">
      <alignment horizontal="center"/>
    </xf>
    <xf numFmtId="0" fontId="17" fillId="11" borderId="0" xfId="0" applyFont="1" applyFill="1" applyAlignment="1">
      <alignment horizontal="center"/>
    </xf>
    <xf numFmtId="0" fontId="30" fillId="11" borderId="21" xfId="3" applyFill="1" applyBorder="1" applyAlignment="1" applyProtection="1">
      <alignment horizontal="center"/>
    </xf>
    <xf numFmtId="14" fontId="17" fillId="11" borderId="27" xfId="0" applyNumberFormat="1" applyFont="1" applyFill="1" applyBorder="1" applyAlignment="1">
      <alignment horizontal="center"/>
    </xf>
    <xf numFmtId="0" fontId="17" fillId="11" borderId="28" xfId="0" applyFont="1" applyFill="1" applyBorder="1" applyAlignment="1">
      <alignment horizontal="center"/>
    </xf>
    <xf numFmtId="0" fontId="17" fillId="11" borderId="29" xfId="0" applyFont="1" applyFill="1" applyBorder="1" applyAlignment="1">
      <alignment horizontal="center"/>
    </xf>
    <xf numFmtId="0" fontId="17" fillId="11" borderId="30" xfId="0" applyFont="1" applyFill="1" applyBorder="1" applyAlignment="1">
      <alignment horizontal="center"/>
    </xf>
    <xf numFmtId="0" fontId="17" fillId="11" borderId="31" xfId="0" applyFont="1" applyFill="1" applyBorder="1" applyAlignment="1">
      <alignment horizontal="center"/>
    </xf>
    <xf numFmtId="0" fontId="17" fillId="11" borderId="32" xfId="0" applyFont="1" applyFill="1" applyBorder="1" applyAlignment="1">
      <alignment horizontal="center"/>
    </xf>
    <xf numFmtId="0" fontId="17" fillId="11" borderId="23" xfId="0" applyFont="1" applyFill="1" applyBorder="1"/>
    <xf numFmtId="0" fontId="17" fillId="11" borderId="19" xfId="0" applyFont="1" applyFill="1" applyBorder="1"/>
    <xf numFmtId="0" fontId="17" fillId="11" borderId="22" xfId="0" applyFont="1" applyFill="1" applyBorder="1"/>
    <xf numFmtId="0" fontId="17" fillId="11" borderId="33" xfId="0" applyFont="1" applyFill="1" applyBorder="1" applyAlignment="1">
      <alignment horizontal="center"/>
    </xf>
    <xf numFmtId="0" fontId="17" fillId="11" borderId="34" xfId="0" applyFont="1" applyFill="1" applyBorder="1" applyAlignment="1">
      <alignment horizontal="center"/>
    </xf>
    <xf numFmtId="0" fontId="17" fillId="11" borderId="35" xfId="0" applyFont="1" applyFill="1" applyBorder="1" applyAlignment="1">
      <alignment horizontal="center"/>
    </xf>
    <xf numFmtId="0" fontId="17" fillId="9" borderId="23" xfId="0" applyFont="1" applyFill="1" applyBorder="1"/>
    <xf numFmtId="0" fontId="17" fillId="9" borderId="19" xfId="0" applyFont="1" applyFill="1" applyBorder="1" applyAlignment="1">
      <alignment horizontal="center"/>
    </xf>
    <xf numFmtId="0" fontId="17" fillId="9" borderId="19" xfId="0" applyFont="1" applyFill="1" applyBorder="1"/>
    <xf numFmtId="0" fontId="17" fillId="9" borderId="22" xfId="0" applyFont="1" applyFill="1" applyBorder="1"/>
    <xf numFmtId="0" fontId="17" fillId="12" borderId="37" xfId="0" applyFont="1" applyFill="1" applyBorder="1" applyAlignment="1">
      <alignment horizontal="center" vertical="center" wrapText="1"/>
    </xf>
    <xf numFmtId="0" fontId="25" fillId="12" borderId="39" xfId="0" applyFont="1" applyFill="1" applyBorder="1" applyAlignment="1">
      <alignment horizontal="center" vertical="center" wrapText="1"/>
    </xf>
    <xf numFmtId="0" fontId="17" fillId="13" borderId="38" xfId="0" applyFont="1" applyFill="1" applyBorder="1" applyAlignment="1">
      <alignment horizontal="center" vertical="center" wrapText="1"/>
    </xf>
    <xf numFmtId="0" fontId="17" fillId="13" borderId="39" xfId="0" applyFont="1" applyFill="1" applyBorder="1" applyAlignment="1">
      <alignment horizontal="center" vertical="center" wrapText="1"/>
    </xf>
    <xf numFmtId="0" fontId="17" fillId="12" borderId="38" xfId="0" applyFont="1" applyFill="1" applyBorder="1" applyAlignment="1">
      <alignment horizontal="center" vertical="center" wrapText="1"/>
    </xf>
    <xf numFmtId="0" fontId="17" fillId="12" borderId="39" xfId="0" applyFont="1" applyFill="1" applyBorder="1" applyAlignment="1">
      <alignment horizontal="center" vertical="center" wrapText="1"/>
    </xf>
    <xf numFmtId="0" fontId="17" fillId="0" borderId="0" xfId="0" applyFont="1"/>
    <xf numFmtId="0" fontId="2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2" fontId="17" fillId="0" borderId="0" xfId="0" applyNumberFormat="1" applyFont="1" applyAlignment="1">
      <alignment horizontal="center"/>
    </xf>
    <xf numFmtId="1" fontId="16" fillId="0" borderId="0" xfId="0" applyNumberFormat="1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19" fillId="10" borderId="40" xfId="0" applyFont="1" applyFill="1" applyBorder="1" applyAlignment="1">
      <alignment horizontal="center" vertical="center"/>
    </xf>
    <xf numFmtId="0" fontId="34" fillId="14" borderId="9" xfId="0" applyFont="1" applyFill="1" applyBorder="1" applyAlignment="1">
      <alignment horizontal="center" vertical="center"/>
    </xf>
    <xf numFmtId="0" fontId="17" fillId="10" borderId="25" xfId="0" applyFont="1" applyFill="1" applyBorder="1" applyAlignment="1">
      <alignment horizontal="center" vertical="center"/>
    </xf>
    <xf numFmtId="0" fontId="17" fillId="10" borderId="15" xfId="0" applyFont="1" applyFill="1" applyBorder="1" applyAlignment="1">
      <alignment horizontal="center" vertical="center"/>
    </xf>
    <xf numFmtId="0" fontId="18" fillId="11" borderId="25" xfId="0" applyFont="1" applyFill="1" applyBorder="1" applyAlignment="1">
      <alignment horizontal="center" vertical="center"/>
    </xf>
    <xf numFmtId="0" fontId="18" fillId="11" borderId="20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0" fontId="34" fillId="10" borderId="40" xfId="0" applyFont="1" applyFill="1" applyBorder="1" applyAlignment="1">
      <alignment horizontal="center" vertical="center"/>
    </xf>
    <xf numFmtId="0" fontId="34" fillId="10" borderId="11" xfId="0" applyFont="1" applyFill="1" applyBorder="1" applyAlignment="1">
      <alignment horizontal="center" vertical="center"/>
    </xf>
    <xf numFmtId="0" fontId="34" fillId="14" borderId="25" xfId="0" applyFont="1" applyFill="1" applyBorder="1" applyAlignment="1">
      <alignment horizontal="center" vertical="center" wrapText="1"/>
    </xf>
    <xf numFmtId="0" fontId="34" fillId="14" borderId="15" xfId="0" applyFont="1" applyFill="1" applyBorder="1" applyAlignment="1">
      <alignment horizontal="center" vertical="center" wrapText="1"/>
    </xf>
    <xf numFmtId="0" fontId="34" fillId="14" borderId="23" xfId="0" applyFont="1" applyFill="1" applyBorder="1" applyAlignment="1">
      <alignment horizontal="center" vertical="center" wrapText="1"/>
    </xf>
    <xf numFmtId="0" fontId="34" fillId="14" borderId="22" xfId="0" applyFont="1" applyFill="1" applyBorder="1" applyAlignment="1">
      <alignment horizontal="center" vertical="center" wrapText="1"/>
    </xf>
    <xf numFmtId="0" fontId="0" fillId="2" borderId="4" xfId="0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2" borderId="0" xfId="0" applyFont="1" applyFill="1" applyAlignment="1">
      <alignment horizontal="center"/>
    </xf>
    <xf numFmtId="0" fontId="7" fillId="2" borderId="12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10" fillId="8" borderId="0" xfId="0" applyFont="1" applyFill="1" applyAlignment="1">
      <alignment horizontal="center" vertical="center"/>
    </xf>
    <xf numFmtId="0" fontId="13" fillId="2" borderId="7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6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3" borderId="4" xfId="0" applyFill="1" applyBorder="1" applyAlignment="1">
      <alignment horizontal="center" vertical="center"/>
    </xf>
    <xf numFmtId="0" fontId="11" fillId="0" borderId="7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7" fillId="12" borderId="36" xfId="0" applyFont="1" applyFill="1" applyBorder="1" applyAlignment="1">
      <alignment horizontal="center" vertical="center" wrapText="1"/>
    </xf>
    <xf numFmtId="0" fontId="17" fillId="12" borderId="38" xfId="0" applyFont="1" applyFill="1" applyBorder="1" applyAlignment="1">
      <alignment horizontal="center" vertical="center" wrapText="1"/>
    </xf>
  </cellXfs>
  <cellStyles count="4">
    <cellStyle name="Collegamento ipertestuale" xfId="3" builtinId="8"/>
    <cellStyle name="Normale" xfId="0" builtinId="0"/>
    <cellStyle name="Normale 2" xfId="1" xr:uid="{00000000-0005-0000-0000-000001000000}"/>
    <cellStyle name="Percentuale" xfId="2" builtinId="5"/>
  </cellStyles>
  <dxfs count="3"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bgColor rgb="FF00B01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  <color rgb="FF00FF00"/>
      <color rgb="FF66FF66"/>
      <color rgb="FFFF660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3159696684769473"/>
          <c:y val="7.9693462547602414E-2"/>
          <c:w val="0.8068078211754347"/>
          <c:h val="0.80604750137287207"/>
        </c:manualLayout>
      </c:layout>
      <c:scatterChart>
        <c:scatterStyle val="smoothMarker"/>
        <c:varyColors val="0"/>
        <c:ser>
          <c:idx val="0"/>
          <c:order val="0"/>
          <c:tx>
            <c:v>VRsd</c:v>
          </c:tx>
          <c:spPr>
            <a:ln w="3175"/>
          </c:spPr>
          <c:marker>
            <c:symbol val="none"/>
          </c:marker>
          <c:xVal>
            <c:numRef>
              <c:f>VERIFICA_STAFFE!$P$25:$P$63</c:f>
              <c:numCache>
                <c:formatCode>General</c:formatCode>
                <c:ptCount val="3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</c:numCache>
            </c:numRef>
          </c:xVal>
          <c:yVal>
            <c:numRef>
              <c:f>VERIFICA_STAFFE!$R$25:$R$63</c:f>
              <c:numCache>
                <c:formatCode>0.00</c:formatCode>
                <c:ptCount val="39"/>
                <c:pt idx="0">
                  <c:v>4356.6346869581585</c:v>
                </c:pt>
                <c:pt idx="1">
                  <c:v>4086.0959324127825</c:v>
                </c:pt>
                <c:pt idx="2">
                  <c:v>3844.780443924049</c:v>
                </c:pt>
                <c:pt idx="3">
                  <c:v>3628.070609809311</c:v>
                </c:pt>
                <c:pt idx="4">
                  <c:v>3432.2721374197363</c:v>
                </c:pt>
                <c:pt idx="5">
                  <c:v>3254.3942122808239</c:v>
                </c:pt>
                <c:pt idx="6">
                  <c:v>3091.9896136438279</c:v>
                </c:pt>
                <c:pt idx="7">
                  <c:v>2943.0365388394348</c:v>
                </c:pt>
                <c:pt idx="8">
                  <c:v>2805.8499713609294</c:v>
                </c:pt>
                <c:pt idx="9">
                  <c:v>2679.0143204270025</c:v>
                </c:pt>
                <c:pt idx="10">
                  <c:v>2561.3316050816388</c:v>
                </c:pt>
                <c:pt idx="11">
                  <c:v>2451.7811527600247</c:v>
                </c:pt>
                <c:pt idx="12">
                  <c:v>2349.4879336979152</c:v>
                </c:pt>
                <c:pt idx="13">
                  <c:v>2253.6974466643092</c:v>
                </c:pt>
                <c:pt idx="14">
                  <c:v>2163.755627368932</c:v>
                </c:pt>
                <c:pt idx="15">
                  <c:v>2079.0926453855682</c:v>
                </c:pt>
                <c:pt idx="16">
                  <c:v>1999.2097389716337</c:v>
                </c:pt>
                <c:pt idx="17">
                  <c:v>1923.6684433747841</c:v>
                </c:pt>
                <c:pt idx="18">
                  <c:v>1852.0817198426259</c:v>
                </c:pt>
                <c:pt idx="19">
                  <c:v>1784.106605187498</c:v>
                </c:pt>
                <c:pt idx="20">
                  <c:v>1719.4380862351979</c:v>
                </c:pt>
                <c:pt idx="21">
                  <c:v>1657.8039674149557</c:v>
                </c:pt>
                <c:pt idx="22">
                  <c:v>1598.9605485354202</c:v>
                </c:pt>
                <c:pt idx="23">
                  <c:v>1542.688967320235</c:v>
                </c:pt>
                <c:pt idx="24">
                  <c:v>1488.7920903615407</c:v>
                </c:pt>
                <c:pt idx="25">
                  <c:v>1437.0918588500538</c:v>
                </c:pt>
                <c:pt idx="26">
                  <c:v>1387.4270132762636</c:v>
                </c:pt>
                <c:pt idx="27">
                  <c:v>1339.6511354000781</c:v>
                </c:pt>
                <c:pt idx="28">
                  <c:v>1293.6309570043366</c:v>
                </c:pt>
                <c:pt idx="29">
                  <c:v>1249.2448939220205</c:v>
                </c:pt>
                <c:pt idx="30">
                  <c:v>1206.3817710455492</c:v>
                </c:pt>
                <c:pt idx="31">
                  <c:v>1164.9397098627269</c:v>
                </c:pt>
                <c:pt idx="32">
                  <c:v>1124.8251548058133</c:v>
                </c:pt>
                <c:pt idx="33">
                  <c:v>1085.9520185710514</c:v>
                </c:pt>
                <c:pt idx="34">
                  <c:v>1048.2409297400677</c:v>
                </c:pt>
                <c:pt idx="35">
                  <c:v>1011.6185686484426</c:v>
                </c:pt>
                <c:pt idx="36">
                  <c:v>976.01707960818351</c:v>
                </c:pt>
                <c:pt idx="37">
                  <c:v>941.37354938517421</c:v>
                </c:pt>
                <c:pt idx="38">
                  <c:v>907.62954332789388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B1-E748-B033-32403DA92275}"/>
            </c:ext>
          </c:extLst>
        </c:ser>
        <c:ser>
          <c:idx val="1"/>
          <c:order val="1"/>
          <c:tx>
            <c:v>VRcd</c:v>
          </c:tx>
          <c:spPr>
            <a:ln w="3175">
              <a:solidFill>
                <a:srgbClr val="C00000"/>
              </a:solidFill>
            </a:ln>
          </c:spPr>
          <c:marker>
            <c:symbol val="none"/>
          </c:marker>
          <c:xVal>
            <c:numRef>
              <c:f>VERIFICA_STAFFE!$P$25:$P$63</c:f>
              <c:numCache>
                <c:formatCode>General</c:formatCode>
                <c:ptCount val="39"/>
                <c:pt idx="0">
                  <c:v>16</c:v>
                </c:pt>
                <c:pt idx="1">
                  <c:v>17</c:v>
                </c:pt>
                <c:pt idx="2">
                  <c:v>18</c:v>
                </c:pt>
                <c:pt idx="3">
                  <c:v>19</c:v>
                </c:pt>
                <c:pt idx="4">
                  <c:v>20</c:v>
                </c:pt>
                <c:pt idx="5">
                  <c:v>21</c:v>
                </c:pt>
                <c:pt idx="6">
                  <c:v>22</c:v>
                </c:pt>
                <c:pt idx="7">
                  <c:v>23</c:v>
                </c:pt>
                <c:pt idx="8">
                  <c:v>24</c:v>
                </c:pt>
                <c:pt idx="9">
                  <c:v>25</c:v>
                </c:pt>
                <c:pt idx="10">
                  <c:v>26</c:v>
                </c:pt>
                <c:pt idx="11">
                  <c:v>27</c:v>
                </c:pt>
                <c:pt idx="12">
                  <c:v>28</c:v>
                </c:pt>
                <c:pt idx="13">
                  <c:v>29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36</c:v>
                </c:pt>
                <c:pt idx="21">
                  <c:v>37</c:v>
                </c:pt>
                <c:pt idx="22">
                  <c:v>38</c:v>
                </c:pt>
                <c:pt idx="23">
                  <c:v>39</c:v>
                </c:pt>
                <c:pt idx="24">
                  <c:v>40</c:v>
                </c:pt>
                <c:pt idx="25">
                  <c:v>41</c:v>
                </c:pt>
                <c:pt idx="26">
                  <c:v>42</c:v>
                </c:pt>
                <c:pt idx="27">
                  <c:v>43</c:v>
                </c:pt>
                <c:pt idx="28">
                  <c:v>44</c:v>
                </c:pt>
                <c:pt idx="29">
                  <c:v>45</c:v>
                </c:pt>
                <c:pt idx="30">
                  <c:v>46</c:v>
                </c:pt>
                <c:pt idx="31">
                  <c:v>47</c:v>
                </c:pt>
                <c:pt idx="32">
                  <c:v>48</c:v>
                </c:pt>
                <c:pt idx="33">
                  <c:v>49</c:v>
                </c:pt>
                <c:pt idx="34">
                  <c:v>50</c:v>
                </c:pt>
                <c:pt idx="35">
                  <c:v>51</c:v>
                </c:pt>
                <c:pt idx="36">
                  <c:v>52</c:v>
                </c:pt>
                <c:pt idx="37">
                  <c:v>53</c:v>
                </c:pt>
                <c:pt idx="38">
                  <c:v>54</c:v>
                </c:pt>
              </c:numCache>
            </c:numRef>
          </c:xVal>
          <c:yVal>
            <c:numRef>
              <c:f>VERIFICA_STAFFE!$S$25:$S$63</c:f>
              <c:numCache>
                <c:formatCode>0.00</c:formatCode>
                <c:ptCount val="39"/>
                <c:pt idx="0">
                  <c:v>2443.1397758207681</c:v>
                </c:pt>
                <c:pt idx="1">
                  <c:v>2578.1029621615312</c:v>
                </c:pt>
                <c:pt idx="2">
                  <c:v>2709.9251271692178</c:v>
                </c:pt>
                <c:pt idx="3">
                  <c:v>2838.4456658414151</c:v>
                </c:pt>
                <c:pt idx="4">
                  <c:v>2963.5079956988207</c:v>
                </c:pt>
                <c:pt idx="5">
                  <c:v>3084.9597475568798</c:v>
                </c:pt>
                <c:pt idx="6">
                  <c:v>3202.6529511641606</c:v>
                </c:pt>
                <c:pt idx="7">
                  <c:v>3316.4442154813178</c:v>
                </c:pt>
                <c:pt idx="8">
                  <c:v>3426.1949033809783</c:v>
                </c:pt>
                <c:pt idx="9">
                  <c:v>3531.7713005557362</c:v>
                </c:pt>
                <c:pt idx="10">
                  <c:v>3633.0447784284311</c:v>
                </c:pt>
                <c:pt idx="11">
                  <c:v>3729.8919508662575</c:v>
                </c:pt>
                <c:pt idx="12">
                  <c:v>3822.1948245077642</c:v>
                </c:pt>
                <c:pt idx="13">
                  <c:v>3909.840942519586</c:v>
                </c:pt>
                <c:pt idx="14">
                  <c:v>3992.7235216077761</c:v>
                </c:pt>
                <c:pt idx="15">
                  <c:v>4070.7415821167965</c:v>
                </c:pt>
                <c:pt idx="16">
                  <c:v>4143.8000710576789</c:v>
                </c:pt>
                <c:pt idx="17">
                  <c:v>4211.8099779154472</c:v>
                </c:pt>
                <c:pt idx="18">
                  <c:v>4274.6884430947175</c:v>
                </c:pt>
                <c:pt idx="19">
                  <c:v>4332.3588588713519</c:v>
                </c:pt>
                <c:pt idx="20">
                  <c:v>4384.7509627271756</c:v>
                </c:pt>
                <c:pt idx="21">
                  <c:v>4431.8009229540248</c:v>
                </c:pt>
                <c:pt idx="22">
                  <c:v>4473.451416422854</c:v>
                </c:pt>
                <c:pt idx="23">
                  <c:v>4509.6516984231366</c:v>
                </c:pt>
                <c:pt idx="24">
                  <c:v>4540.3576644874838</c:v>
                </c:pt>
                <c:pt idx="25">
                  <c:v>4565.5319041261355</c:v>
                </c:pt>
                <c:pt idx="26">
                  <c:v>4585.1437464058872</c:v>
                </c:pt>
                <c:pt idx="27">
                  <c:v>4599.1692973178942</c:v>
                </c:pt>
                <c:pt idx="28">
                  <c:v>4607.5914688888388</c:v>
                </c:pt>
                <c:pt idx="29">
                  <c:v>4610.3999999999996</c:v>
                </c:pt>
                <c:pt idx="30">
                  <c:v>4607.5914688888388</c:v>
                </c:pt>
                <c:pt idx="31">
                  <c:v>4599.1692973178951</c:v>
                </c:pt>
                <c:pt idx="32">
                  <c:v>4585.1437464058881</c:v>
                </c:pt>
                <c:pt idx="33">
                  <c:v>4565.5319041261364</c:v>
                </c:pt>
                <c:pt idx="34">
                  <c:v>4540.3576644874847</c:v>
                </c:pt>
                <c:pt idx="35">
                  <c:v>4509.6516984231384</c:v>
                </c:pt>
                <c:pt idx="36">
                  <c:v>4473.4514164228549</c:v>
                </c:pt>
                <c:pt idx="37">
                  <c:v>4431.8009229540257</c:v>
                </c:pt>
                <c:pt idx="38">
                  <c:v>4384.7509627271766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4B1-E748-B033-32403DA92275}"/>
            </c:ext>
          </c:extLst>
        </c:ser>
        <c:ser>
          <c:idx val="2"/>
          <c:order val="2"/>
          <c:tx>
            <c:v>Limite1</c:v>
          </c:tx>
          <c:spPr>
            <a:ln w="3175">
              <a:solidFill>
                <a:schemeClr val="tx1"/>
              </a:solidFill>
              <a:prstDash val="dash"/>
            </a:ln>
          </c:spPr>
          <c:marker>
            <c:symbol val="none"/>
          </c:marker>
          <c:xVal>
            <c:numRef>
              <c:f>VERIFICA_STAFFE!$U$51:$U$52</c:f>
              <c:numCache>
                <c:formatCode>0.00</c:formatCode>
                <c:ptCount val="2"/>
                <c:pt idx="0">
                  <c:v>21.8</c:v>
                </c:pt>
                <c:pt idx="1">
                  <c:v>21.8</c:v>
                </c:pt>
              </c:numCache>
            </c:numRef>
          </c:xVal>
          <c:yVal>
            <c:numRef>
              <c:f>VERIFICA_STAFFE!$V$51:$V$52</c:f>
              <c:numCache>
                <c:formatCode>0.00</c:formatCode>
                <c:ptCount val="2"/>
                <c:pt idx="0">
                  <c:v>0</c:v>
                </c:pt>
                <c:pt idx="1">
                  <c:v>4610.3999999999996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8A9-4F27-9EE5-8E8431CBB339}"/>
            </c:ext>
          </c:extLst>
        </c:ser>
        <c:ser>
          <c:idx val="3"/>
          <c:order val="3"/>
          <c:tx>
            <c:v>Lmite2</c:v>
          </c:tx>
          <c:spPr>
            <a:ln w="3175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xVal>
            <c:numRef>
              <c:f>VERIFICA_STAFFE!$U$53:$U$54</c:f>
              <c:numCache>
                <c:formatCode>0.00</c:formatCode>
                <c:ptCount val="2"/>
                <c:pt idx="0">
                  <c:v>45</c:v>
                </c:pt>
                <c:pt idx="1">
                  <c:v>45</c:v>
                </c:pt>
              </c:numCache>
            </c:numRef>
          </c:xVal>
          <c:yVal>
            <c:numRef>
              <c:f>VERIFICA_STAFFE!$V$53:$V$54</c:f>
              <c:numCache>
                <c:formatCode>0.00</c:formatCode>
                <c:ptCount val="2"/>
                <c:pt idx="0">
                  <c:v>0</c:v>
                </c:pt>
                <c:pt idx="1">
                  <c:v>4610.3999999999996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8A9-4F27-9EE5-8E8431CBB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9808520"/>
        <c:axId val="549809304"/>
      </c:scatterChart>
      <c:valAx>
        <c:axId val="549808520"/>
        <c:scaling>
          <c:orientation val="minMax"/>
          <c:max val="50"/>
          <c:min val="15"/>
        </c:scaling>
        <c:delete val="0"/>
        <c:axPos val="b"/>
        <c:minorGridlines>
          <c:spPr>
            <a:ln w="3175">
              <a:noFill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r>
                  <a:rPr lang="el-GR"/>
                  <a:t>θ</a:t>
                </a:r>
                <a:r>
                  <a:rPr lang="it-IT"/>
                  <a:t> [°]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 w="3175">
            <a:solidFill>
              <a:sysClr val="windowText" lastClr="000000"/>
            </a:solidFill>
          </a:ln>
        </c:spPr>
        <c:crossAx val="549809304"/>
        <c:crosses val="autoZero"/>
        <c:crossBetween val="midCat"/>
        <c:minorUnit val="2"/>
      </c:valAx>
      <c:valAx>
        <c:axId val="549809304"/>
        <c:scaling>
          <c:orientation val="minMax"/>
        </c:scaling>
        <c:delete val="0"/>
        <c:axPos val="l"/>
        <c:majorGridlines>
          <c:spPr>
            <a:ln w="3175">
              <a:solidFill>
                <a:sysClr val="window" lastClr="FFFFFF">
                  <a:lumMod val="85000"/>
                </a:sysClr>
              </a:solidFill>
            </a:ln>
          </c:spPr>
        </c:maj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it-IT"/>
                  <a:t>V</a:t>
                </a:r>
              </a:p>
              <a:p>
                <a:pPr>
                  <a:defRPr/>
                </a:pPr>
                <a:r>
                  <a:rPr lang="it-IT"/>
                  <a:t>[kN]</a:t>
                </a:r>
              </a:p>
            </c:rich>
          </c:tx>
          <c:layout>
            <c:manualLayout>
              <c:xMode val="edge"/>
              <c:yMode val="edge"/>
              <c:x val="2.7066422604854179E-3"/>
              <c:y val="0.41569377196349033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3175"/>
        </c:spPr>
        <c:crossAx val="549808520"/>
        <c:crossesAt val="1"/>
        <c:crossBetween val="midCat"/>
      </c:valAx>
    </c:plotArea>
    <c:legend>
      <c:legendPos val="r"/>
      <c:layout>
        <c:manualLayout>
          <c:xMode val="edge"/>
          <c:yMode val="edge"/>
          <c:x val="0.14644827228123894"/>
          <c:y val="9.7911518396485445E-2"/>
          <c:w val="0.21994382695618439"/>
          <c:h val="0.10844133975151017"/>
        </c:manualLayout>
      </c:layout>
      <c:overlay val="0"/>
      <c:spPr>
        <a:solidFill>
          <a:schemeClr val="bg1"/>
        </a:solidFill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600">
          <a:latin typeface="Arial Narrow" panose="020B0606020202030204" pitchFamily="34" charset="0"/>
        </a:defRPr>
      </a:pPr>
      <a:endParaRPr lang="it-IT"/>
    </a:p>
  </c:txPr>
  <c:printSettings>
    <c:headerFooter/>
    <c:pageMargins b="0.75000000000000222" l="0.70000000000000062" r="0.70000000000000062" t="0.750000000000002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44824</xdr:colOff>
      <xdr:row>30</xdr:row>
      <xdr:rowOff>44822</xdr:rowOff>
    </xdr:from>
    <xdr:to>
      <xdr:col>11</xdr:col>
      <xdr:colOff>48586</xdr:colOff>
      <xdr:row>32</xdr:row>
      <xdr:rowOff>140072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12206" y="6196851"/>
          <a:ext cx="3702504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135270</xdr:colOff>
      <xdr:row>47</xdr:row>
      <xdr:rowOff>26415</xdr:rowOff>
    </xdr:from>
    <xdr:to>
      <xdr:col>10</xdr:col>
      <xdr:colOff>629851</xdr:colOff>
      <xdr:row>49</xdr:row>
      <xdr:rowOff>137673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87484" y="9483379"/>
          <a:ext cx="3202402" cy="492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96237</xdr:colOff>
      <xdr:row>43</xdr:row>
      <xdr:rowOff>124554</xdr:rowOff>
    </xdr:from>
    <xdr:to>
      <xdr:col>3</xdr:col>
      <xdr:colOff>505810</xdr:colOff>
      <xdr:row>53</xdr:row>
      <xdr:rowOff>72257</xdr:rowOff>
    </xdr:to>
    <xdr:graphicFrame macro="">
      <xdr:nvGraphicFramePr>
        <xdr:cNvPr id="5" name="Grafico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555888</xdr:colOff>
      <xdr:row>46</xdr:row>
      <xdr:rowOff>167520</xdr:rowOff>
    </xdr:from>
    <xdr:ext cx="2715743" cy="223005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3489588" y="6320670"/>
              <a:ext cx="2715743" cy="223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900" b="0" i="1">
                            <a:latin typeface="Cambria Math" panose="02040503050406030204" pitchFamily="18" charset="0"/>
                          </a:rPr>
                          <m:t>𝑉</m:t>
                        </m:r>
                      </m:e>
                      <m:sub>
                        <m:r>
                          <a:rPr lang="it-IT" sz="900" b="0" i="1">
                            <a:latin typeface="Cambria Math" panose="02040503050406030204" pitchFamily="18" charset="0"/>
                          </a:rPr>
                          <m:t>𝑅𝑐𝑑</m:t>
                        </m:r>
                      </m:sub>
                    </m:sSub>
                    <m:r>
                      <a:rPr lang="it-IT" sz="900" b="0" i="1">
                        <a:latin typeface="Cambria Math" panose="02040503050406030204" pitchFamily="18" charset="0"/>
                      </a:rPr>
                      <m:t>=0,9·</m:t>
                    </m:r>
                    <m:r>
                      <a:rPr lang="it-IT" sz="900" b="0" i="1">
                        <a:latin typeface="Cambria Math" panose="02040503050406030204" pitchFamily="18" charset="0"/>
                      </a:rPr>
                      <m:t>𝑑</m:t>
                    </m:r>
                    <m:r>
                      <a:rPr lang="it-IT" sz="900" b="0" i="1">
                        <a:latin typeface="Cambria Math" panose="02040503050406030204" pitchFamily="18" charset="0"/>
                      </a:rPr>
                      <m:t>·</m:t>
                    </m:r>
                    <m:sSub>
                      <m:sSubPr>
                        <m:ctrlPr>
                          <a:rPr lang="it-IT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900" b="0" i="1">
                            <a:latin typeface="Cambria Math" panose="02040503050406030204" pitchFamily="18" charset="0"/>
                          </a:rPr>
                          <m:t>𝑏</m:t>
                        </m:r>
                      </m:e>
                      <m:sub>
                        <m:r>
                          <a:rPr lang="it-IT" sz="900" b="0" i="1">
                            <a:latin typeface="Cambria Math" panose="02040503050406030204" pitchFamily="18" charset="0"/>
                          </a:rPr>
                          <m:t>𝑤</m:t>
                        </m:r>
                      </m:sub>
                    </m:sSub>
                    <m:sSub>
                      <m:sSubPr>
                        <m:ctrlP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𝛼</m:t>
                        </m:r>
                      </m:e>
                      <m:sub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</m:t>
                        </m:r>
                      </m:sub>
                    </m:sSub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·</m:t>
                    </m:r>
                    <m:sSubSup>
                      <m:sSubSupPr>
                        <m:ctrlP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𝑓</m:t>
                        </m:r>
                      </m:e>
                      <m:sub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𝑐𝑑</m:t>
                        </m:r>
                      </m:sub>
                      <m:sup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·(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𝑐𝑡𝑔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𝛼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𝑐𝑡𝑔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)/(1+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𝑐𝑡</m:t>
                    </m:r>
                    <m:sSup>
                      <m:sSupPr>
                        <m:ctrlP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𝑔</m:t>
                        </m:r>
                      </m:e>
                      <m:sup>
                        <m:r>
                          <a:rPr lang="it-IT" sz="9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𝜃</m:t>
                    </m:r>
                    <m:r>
                      <a:rPr lang="it-IT" sz="9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it-IT" sz="9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3" name="CasellaDiTesto 2">
              <a:extLst>
                <a:ext uri="{FF2B5EF4-FFF2-40B4-BE49-F238E27FC236}">
                  <a16:creationId xmlns:a16="http://schemas.microsoft.com/office/drawing/2014/main" id="{00000000-0008-0000-0400-000003000000}"/>
                </a:ext>
              </a:extLst>
            </xdr:cNvPr>
            <xdr:cNvSpPr txBox="1"/>
          </xdr:nvSpPr>
          <xdr:spPr>
            <a:xfrm>
              <a:off x="3489588" y="6320670"/>
              <a:ext cx="2715743" cy="22300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noAutofit/>
            </a:bodyPr>
            <a:lstStyle/>
            <a:p>
              <a:pPr/>
              <a:r>
                <a:rPr lang="it-IT" sz="900" b="0" i="0">
                  <a:latin typeface="Cambria Math" panose="02040503050406030204" pitchFamily="18" charset="0"/>
                </a:rPr>
                <a:t>𝑉_𝑅𝑐𝑑=0,9·𝑑·𝑏_𝑤</a:t>
              </a:r>
              <a:r>
                <a:rPr lang="it-IT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𝛼_𝑐·𝑓_𝑐𝑑^′·(𝑐𝑡𝑔𝛼+𝑐𝑡𝑔𝜃)/(1+𝑐𝑡𝑔^2 𝜃)</a:t>
              </a:r>
              <a:endParaRPr lang="it-IT" sz="9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9</xdr:col>
      <xdr:colOff>0</xdr:colOff>
      <xdr:row>56</xdr:row>
      <xdr:rowOff>0</xdr:rowOff>
    </xdr:from>
    <xdr:ext cx="0" cy="0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asellaDiTesto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 txBox="1"/>
          </xdr:nvSpPr>
          <xdr:spPr>
            <a:xfrm>
              <a:off x="5443904" y="7363558"/>
              <a:ext cx="0" cy="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</a:rPr>
                          <m:t>Rcd</m:t>
                        </m:r>
                      </m:sub>
                    </m:sSub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</a:rPr>
                      <m:t>=0,9·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</a:rPr>
                      <m:t>d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</a:rPr>
                      <m:t>·</m:t>
                    </m:r>
                    <m:sSub>
                      <m:sSubPr>
                        <m:ctrlPr>
                          <a:rPr lang="it-IT" sz="8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</a:rPr>
                          <m:t>b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</a:rPr>
                          <m:t>w</m:t>
                        </m:r>
                      </m:sub>
                    </m:sSub>
                    <m:sSub>
                      <m:sSubPr>
                        <m:ctrlPr>
                          <a:rPr lang="it-IT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α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</m:t>
                        </m:r>
                      </m:sub>
                    </m:sSub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·</m:t>
                    </m:r>
                    <m:sSubSup>
                      <m:sSubSupPr>
                        <m:ctrlPr>
                          <a:rPr lang="it-IT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bSupPr>
                      <m:e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f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cd</m:t>
                        </m:r>
                      </m:sub>
                      <m:sup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′</m:t>
                        </m:r>
                      </m:sup>
                    </m:sSubSup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·(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ctgα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+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ctgθ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)/(1+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ct</m:t>
                    </m:r>
                    <m:sSup>
                      <m:sSupPr>
                        <m:ctrlPr>
                          <a:rPr lang="it-IT" sz="800" b="0" i="1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g</m:t>
                        </m:r>
                      </m:e>
                      <m:sup>
                        <m:r>
                          <m:rPr>
                            <m:nor/>
                          </m:rPr>
                          <a:rPr lang="it-IT" sz="800" b="0" i="0">
                            <a:latin typeface="Cambria Math" panose="02040503050406030204" pitchFamily="18" charset="0"/>
                            <a:ea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θ</m:t>
                    </m:r>
                    <m:r>
                      <m:rPr>
                        <m:nor/>
                      </m:rPr>
                      <a:rPr lang="it-IT" sz="800" b="0" i="0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it-IT" sz="800">
                <a:latin typeface="Arial Narrow" panose="020B0606020202030204" pitchFamily="34" charset="0"/>
              </a:endParaRPr>
            </a:p>
          </xdr:txBody>
        </xdr:sp>
      </mc:Choice>
      <mc:Fallback xmlns="">
        <xdr:sp macro="" textlink="">
          <xdr:nvSpPr>
            <xdr:cNvPr id="6" name="CasellaDiTesto 5">
              <a:extLst>
                <a:ext uri="{FF2B5EF4-FFF2-40B4-BE49-F238E27FC236}">
                  <a16:creationId xmlns:a16="http://schemas.microsoft.com/office/drawing/2014/main" id="{00000000-0008-0000-0400-000006000000}"/>
                </a:ext>
              </a:extLst>
            </xdr:cNvPr>
            <xdr:cNvSpPr txBox="1"/>
          </xdr:nvSpPr>
          <xdr:spPr>
            <a:xfrm>
              <a:off x="5443904" y="7363558"/>
              <a:ext cx="0" cy="0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it-IT" sz="800" b="0" i="0">
                  <a:latin typeface="Cambria Math" panose="02040503050406030204" pitchFamily="18" charset="0"/>
                </a:rPr>
                <a:t>"V" _"Rcd"  "=0,9·d·" "b" _"w" </a:t>
              </a:r>
              <a:r>
                <a:rPr lang="it-IT" sz="8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 "α" _"c"  "·" "f" _"cd" ^"′"  "·(ctgα+ctgθ)/(1+ct" "g" ^"2"  "θ)"</a:t>
              </a:r>
              <a:endParaRPr lang="it-IT" sz="800">
                <a:latin typeface="Arial Narrow" panose="020B0606020202030204" pitchFamily="34" charset="0"/>
              </a:endParaRPr>
            </a:p>
          </xdr:txBody>
        </xdr:sp>
      </mc:Fallback>
    </mc:AlternateContent>
    <xdr:clientData/>
  </xdr:oneCellAnchor>
  <xdr:oneCellAnchor>
    <xdr:from>
      <xdr:col>4</xdr:col>
      <xdr:colOff>57606</xdr:colOff>
      <xdr:row>48</xdr:row>
      <xdr:rowOff>151992</xdr:rowOff>
    </xdr:from>
    <xdr:ext cx="2028369" cy="37188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>
              <a:off x="3772356" y="6648042"/>
              <a:ext cx="2028369" cy="371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b>
                      <m:sSubPr>
                        <m:ctrlPr>
                          <a:rPr lang="it-IT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t-IT" sz="900" b="0" i="1">
                            <a:latin typeface="+mj-lt"/>
                          </a:rPr>
                          <m:t>V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900" b="0" i="1">
                            <a:latin typeface="+mj-lt"/>
                          </a:rPr>
                          <m:t>Rsd</m:t>
                        </m:r>
                      </m:sub>
                    </m:sSub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=0,9·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d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·</m:t>
                    </m:r>
                    <m:f>
                      <m:fPr>
                        <m:ctrlPr>
                          <a:rPr lang="it-IT" sz="900" b="0" i="1">
                            <a:latin typeface="Cambria Math" panose="02040503050406030204" pitchFamily="18" charset="0"/>
                          </a:rPr>
                        </m:ctrlPr>
                      </m:fPr>
                      <m:num>
                        <m:sSub>
                          <m:sSubPr>
                            <m:ctrlPr>
                              <a:rPr lang="it-IT" sz="900" b="0" i="1">
                                <a:latin typeface="Cambria Math" panose="02040503050406030204" pitchFamily="18" charset="0"/>
                              </a:rPr>
                            </m:ctrlPr>
                          </m:sSubPr>
                          <m:e>
                            <m:r>
                              <m:rPr>
                                <m:nor/>
                              </m:rPr>
                              <a:rPr lang="it-IT" sz="900" b="0" i="1">
                                <a:latin typeface="+mj-lt"/>
                              </a:rPr>
                              <m:t>A</m:t>
                            </m:r>
                          </m:e>
                          <m:sub>
                            <m:r>
                              <m:rPr>
                                <m:nor/>
                              </m:rPr>
                              <a:rPr lang="it-IT" sz="900" b="0" i="1">
                                <a:latin typeface="+mj-lt"/>
                              </a:rPr>
                              <m:t>sw</m:t>
                            </m:r>
                          </m:sub>
                        </m:sSub>
                      </m:num>
                      <m:den>
                        <m:r>
                          <m:rPr>
                            <m:nor/>
                          </m:rPr>
                          <a:rPr lang="it-IT" sz="900" b="0" i="1">
                            <a:latin typeface="+mj-lt"/>
                          </a:rPr>
                          <m:t>s</m:t>
                        </m:r>
                      </m:den>
                    </m:f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·</m:t>
                    </m:r>
                    <m:sSub>
                      <m:sSubPr>
                        <m:ctrlPr>
                          <a:rPr lang="it-IT" sz="9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m:rPr>
                            <m:nor/>
                          </m:rPr>
                          <a:rPr lang="it-IT" sz="900" b="0" i="1">
                            <a:latin typeface="+mj-lt"/>
                          </a:rPr>
                          <m:t>f</m:t>
                        </m:r>
                      </m:e>
                      <m:sub>
                        <m:r>
                          <m:rPr>
                            <m:nor/>
                          </m:rPr>
                          <a:rPr lang="it-IT" sz="900" b="0" i="1">
                            <a:latin typeface="+mj-lt"/>
                          </a:rPr>
                          <m:t>yd</m:t>
                        </m:r>
                      </m:sub>
                    </m:sSub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·(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</a:rPr>
                      <m:t>ctgα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  <a:ea typeface="Cambria Math" panose="02040503050406030204" pitchFamily="18" charset="0"/>
                      </a:rPr>
                      <m:t>+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  <a:ea typeface="Cambria Math" panose="02040503050406030204" pitchFamily="18" charset="0"/>
                      </a:rPr>
                      <m:t>ctgθ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  <a:ea typeface="Cambria Math" panose="02040503050406030204" pitchFamily="18" charset="0"/>
                      </a:rPr>
                      <m:t>)·</m:t>
                    </m:r>
                    <m:r>
                      <m:rPr>
                        <m:nor/>
                      </m:rPr>
                      <a:rPr lang="it-IT" sz="900" b="0" i="1">
                        <a:latin typeface="+mj-lt"/>
                        <a:ea typeface="Cambria Math" panose="02040503050406030204" pitchFamily="18" charset="0"/>
                      </a:rPr>
                      <m:t>senα</m:t>
                    </m:r>
                  </m:oMath>
                </m:oMathPara>
              </a14:m>
              <a:endParaRPr lang="it-IT" sz="900" i="1">
                <a:latin typeface="+mj-lt"/>
              </a:endParaRPr>
            </a:p>
          </xdr:txBody>
        </xdr:sp>
      </mc:Choice>
      <mc:Fallback xmlns="">
        <xdr:sp macro="" textlink="">
          <xdr:nvSpPr>
            <xdr:cNvPr id="7" name="CasellaDiTesto 6">
              <a:extLst>
                <a:ext uri="{FF2B5EF4-FFF2-40B4-BE49-F238E27FC236}">
                  <a16:creationId xmlns:a16="http://schemas.microsoft.com/office/drawing/2014/main" id="{00000000-0008-0000-0400-000007000000}"/>
                </a:ext>
              </a:extLst>
            </xdr:cNvPr>
            <xdr:cNvSpPr txBox="1"/>
          </xdr:nvSpPr>
          <xdr:spPr>
            <a:xfrm>
              <a:off x="3772356" y="6648042"/>
              <a:ext cx="2028369" cy="37188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/>
              <a:r>
                <a:rPr lang="it-IT" sz="900" b="0" i="0">
                  <a:latin typeface="+mj-lt"/>
                </a:rPr>
                <a:t>"V</a:t>
              </a:r>
              <a:r>
                <a:rPr lang="it-IT" sz="900" b="0" i="0">
                  <a:latin typeface="Cambria Math" panose="02040503050406030204" pitchFamily="18" charset="0"/>
                </a:rPr>
                <a:t>" _</a:t>
              </a:r>
              <a:r>
                <a:rPr lang="it-IT" sz="900" b="0" i="0">
                  <a:latin typeface="+mj-lt"/>
                </a:rPr>
                <a:t>"Rsd</a:t>
              </a:r>
              <a:r>
                <a:rPr lang="it-IT" sz="900" b="0" i="0">
                  <a:latin typeface="Cambria Math" panose="02040503050406030204" pitchFamily="18" charset="0"/>
                </a:rPr>
                <a:t>" </a:t>
              </a:r>
              <a:r>
                <a:rPr lang="it-IT" sz="900" b="0" i="0">
                  <a:latin typeface="+mj-lt"/>
                </a:rPr>
                <a:t> </a:t>
              </a:r>
              <a:r>
                <a:rPr lang="it-IT" sz="900" b="0" i="0">
                  <a:latin typeface="Cambria Math" panose="02040503050406030204" pitchFamily="18" charset="0"/>
                </a:rPr>
                <a:t>"=0,9·d·"  </a:t>
              </a:r>
              <a:r>
                <a:rPr lang="it-IT" sz="900" b="0" i="0">
                  <a:latin typeface="+mj-lt"/>
                </a:rPr>
                <a:t>"A</a:t>
              </a:r>
              <a:r>
                <a:rPr lang="it-IT" sz="900" b="0" i="0">
                  <a:latin typeface="Cambria Math" panose="02040503050406030204" pitchFamily="18" charset="0"/>
                </a:rPr>
                <a:t>" _</a:t>
              </a:r>
              <a:r>
                <a:rPr lang="it-IT" sz="900" b="0" i="0">
                  <a:latin typeface="+mj-lt"/>
                </a:rPr>
                <a:t>"sw</a:t>
              </a:r>
              <a:r>
                <a:rPr lang="it-IT" sz="900" b="0" i="0">
                  <a:latin typeface="Cambria Math" panose="02040503050406030204" pitchFamily="18" charset="0"/>
                </a:rPr>
                <a:t>" /</a:t>
              </a:r>
              <a:r>
                <a:rPr lang="it-IT" sz="900" b="0" i="0">
                  <a:latin typeface="+mj-lt"/>
                </a:rPr>
                <a:t>"s</a:t>
              </a:r>
              <a:r>
                <a:rPr lang="it-IT" sz="900" b="0" i="0">
                  <a:latin typeface="Cambria Math" panose="02040503050406030204" pitchFamily="18" charset="0"/>
                </a:rPr>
                <a:t>" </a:t>
              </a:r>
              <a:r>
                <a:rPr lang="it-IT" sz="900" b="0" i="0">
                  <a:latin typeface="+mj-lt"/>
                </a:rPr>
                <a:t> </a:t>
              </a:r>
              <a:r>
                <a:rPr lang="it-IT" sz="900" b="0" i="0">
                  <a:latin typeface="Cambria Math" panose="02040503050406030204" pitchFamily="18" charset="0"/>
                </a:rPr>
                <a:t>"·" </a:t>
              </a:r>
              <a:r>
                <a:rPr lang="it-IT" sz="900" b="0" i="0">
                  <a:latin typeface="+mj-lt"/>
                </a:rPr>
                <a:t>"f</a:t>
              </a:r>
              <a:r>
                <a:rPr lang="it-IT" sz="900" b="0" i="0">
                  <a:latin typeface="Cambria Math" panose="02040503050406030204" pitchFamily="18" charset="0"/>
                </a:rPr>
                <a:t>" _</a:t>
              </a:r>
              <a:r>
                <a:rPr lang="it-IT" sz="900" b="0" i="0">
                  <a:latin typeface="+mj-lt"/>
                </a:rPr>
                <a:t>"yd</a:t>
              </a:r>
              <a:r>
                <a:rPr lang="it-IT" sz="900" b="0" i="0">
                  <a:latin typeface="Cambria Math" panose="02040503050406030204" pitchFamily="18" charset="0"/>
                </a:rPr>
                <a:t>" </a:t>
              </a:r>
              <a:r>
                <a:rPr lang="it-IT" sz="900" b="0" i="0">
                  <a:latin typeface="+mj-lt"/>
                </a:rPr>
                <a:t> </a:t>
              </a:r>
              <a:r>
                <a:rPr lang="it-IT" sz="900" b="0" i="0">
                  <a:latin typeface="Cambria Math" panose="02040503050406030204" pitchFamily="18" charset="0"/>
                </a:rPr>
                <a:t>"·(ctgα</a:t>
              </a:r>
              <a:r>
                <a:rPr lang="it-IT" sz="9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+ctgθ)·senα</a:t>
              </a:r>
              <a:r>
                <a:rPr lang="it-IT" sz="900" b="0" i="0">
                  <a:latin typeface="+mj-lt"/>
                  <a:ea typeface="Cambria Math" panose="02040503050406030204" pitchFamily="18" charset="0"/>
                </a:rPr>
                <a:t>"</a:t>
              </a:r>
              <a:endParaRPr lang="it-IT" sz="900" i="1">
                <a:latin typeface="+mj-lt"/>
              </a:endParaRPr>
            </a:p>
          </xdr:txBody>
        </xdr:sp>
      </mc:Fallback>
    </mc:AlternateContent>
    <xdr:clientData/>
  </xdr:oneCellAnchor>
  <xdr:twoCellAnchor editAs="oneCell">
    <xdr:from>
      <xdr:col>9</xdr:col>
      <xdr:colOff>552450</xdr:colOff>
      <xdr:row>9</xdr:row>
      <xdr:rowOff>53285</xdr:rowOff>
    </xdr:from>
    <xdr:to>
      <xdr:col>14</xdr:col>
      <xdr:colOff>19470</xdr:colOff>
      <xdr:row>19</xdr:row>
      <xdr:rowOff>91440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72C10470-4D28-4477-96E8-BE9E0C7C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81825" y="1262960"/>
          <a:ext cx="4202850" cy="17469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44824</xdr:colOff>
      <xdr:row>31</xdr:row>
      <xdr:rowOff>44822</xdr:rowOff>
    </xdr:from>
    <xdr:to>
      <xdr:col>11</xdr:col>
      <xdr:colOff>48586</xdr:colOff>
      <xdr:row>33</xdr:row>
      <xdr:rowOff>140072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50799" y="6007472"/>
          <a:ext cx="3728037" cy="476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135270</xdr:colOff>
      <xdr:row>48</xdr:row>
      <xdr:rowOff>26415</xdr:rowOff>
    </xdr:from>
    <xdr:to>
      <xdr:col>10</xdr:col>
      <xdr:colOff>629851</xdr:colOff>
      <xdr:row>50</xdr:row>
      <xdr:rowOff>137673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41245" y="9275190"/>
          <a:ext cx="3190156" cy="49225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glio4"/>
  <dimension ref="A1:AB114"/>
  <sheetViews>
    <sheetView topLeftCell="A6" zoomScale="70" zoomScaleNormal="70" workbookViewId="0">
      <selection activeCell="E20" sqref="E20"/>
    </sheetView>
  </sheetViews>
  <sheetFormatPr defaultRowHeight="15"/>
  <cols>
    <col min="2" max="2" width="29.5703125" bestFit="1" customWidth="1"/>
    <col min="3" max="3" width="11.7109375" bestFit="1" customWidth="1"/>
    <col min="4" max="4" width="22.7109375" bestFit="1" customWidth="1"/>
    <col min="5" max="5" width="9.140625" bestFit="1" customWidth="1"/>
    <col min="6" max="6" width="15.5703125" bestFit="1" customWidth="1"/>
    <col min="7" max="7" width="47.7109375" bestFit="1" customWidth="1"/>
    <col min="8" max="8" width="16.42578125" customWidth="1"/>
    <col min="10" max="10" width="14.85546875" bestFit="1" customWidth="1"/>
    <col min="11" max="12" width="15.42578125" customWidth="1"/>
    <col min="13" max="13" width="15.42578125" bestFit="1" customWidth="1"/>
    <col min="15" max="15" width="11.85546875" bestFit="1" customWidth="1"/>
  </cols>
  <sheetData>
    <row r="1" spans="1:28" ht="15" customHeight="1">
      <c r="A1" s="32"/>
      <c r="B1" s="214" t="s">
        <v>71</v>
      </c>
      <c r="C1" s="214"/>
      <c r="D1" s="214"/>
      <c r="E1" s="214"/>
      <c r="F1" s="214"/>
      <c r="G1" s="214"/>
      <c r="H1" s="3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15" customHeight="1">
      <c r="A2" s="32"/>
      <c r="B2" s="214"/>
      <c r="C2" s="214"/>
      <c r="D2" s="214"/>
      <c r="E2" s="214"/>
      <c r="F2" s="214"/>
      <c r="G2" s="214"/>
      <c r="H2" s="3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15.75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pans="1:28">
      <c r="A4" s="32"/>
      <c r="B4" s="13" t="s">
        <v>19</v>
      </c>
      <c r="C4" s="1" t="s">
        <v>0</v>
      </c>
      <c r="D4" s="1" t="s">
        <v>1</v>
      </c>
      <c r="E4" s="1" t="s">
        <v>2</v>
      </c>
      <c r="F4" s="1" t="s">
        <v>3</v>
      </c>
      <c r="G4" s="2" t="s">
        <v>4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>
      <c r="A5" s="32"/>
      <c r="B5" s="21" t="s">
        <v>47</v>
      </c>
      <c r="C5" t="s">
        <v>45</v>
      </c>
      <c r="E5">
        <v>25</v>
      </c>
      <c r="F5" t="s">
        <v>46</v>
      </c>
      <c r="G5" s="7"/>
      <c r="H5" s="32"/>
      <c r="I5" s="8"/>
      <c r="J5" s="227" t="s">
        <v>17</v>
      </c>
      <c r="K5" s="227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ht="17.25">
      <c r="A6" s="32"/>
      <c r="B6" s="6" t="s">
        <v>25</v>
      </c>
      <c r="C6" t="s">
        <v>5</v>
      </c>
      <c r="E6">
        <v>14.17</v>
      </c>
      <c r="F6" t="s">
        <v>6</v>
      </c>
      <c r="G6" s="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1:28">
      <c r="A7" s="32"/>
      <c r="B7" s="6" t="s">
        <v>24</v>
      </c>
      <c r="C7" s="11" t="s">
        <v>23</v>
      </c>
      <c r="E7">
        <f>0.0007</f>
        <v>6.9999999999999999E-4</v>
      </c>
      <c r="F7" t="s">
        <v>16</v>
      </c>
      <c r="G7" s="228" t="s">
        <v>26</v>
      </c>
      <c r="H7" s="32"/>
      <c r="I7" s="227" t="s">
        <v>28</v>
      </c>
      <c r="J7" s="227"/>
      <c r="K7" s="227"/>
      <c r="L7" s="227"/>
      <c r="M7" s="227"/>
      <c r="N7" s="22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 ht="15.75" thickBot="1">
      <c r="A8" s="32"/>
      <c r="B8" s="3" t="s">
        <v>21</v>
      </c>
      <c r="C8" s="12" t="s">
        <v>22</v>
      </c>
      <c r="D8" s="4"/>
      <c r="E8" s="4">
        <v>3.5000000000000001E-3</v>
      </c>
      <c r="F8" s="4" t="s">
        <v>16</v>
      </c>
      <c r="G8" s="229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>
      <c r="A9" s="32"/>
      <c r="B9" s="32"/>
      <c r="C9" s="46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 ht="15.75" thickBot="1">
      <c r="A10" s="32"/>
      <c r="B10" s="32"/>
      <c r="C10" s="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32"/>
      <c r="B11" s="14" t="s">
        <v>20</v>
      </c>
      <c r="C11" s="1" t="s">
        <v>0</v>
      </c>
      <c r="D11" s="1" t="s">
        <v>1</v>
      </c>
      <c r="E11" s="1" t="s">
        <v>2</v>
      </c>
      <c r="F11" s="1" t="s">
        <v>3</v>
      </c>
      <c r="G11" s="2" t="s">
        <v>4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ht="17.25">
      <c r="A12" s="32"/>
      <c r="B12" s="6" t="s">
        <v>29</v>
      </c>
      <c r="C12" t="s">
        <v>30</v>
      </c>
      <c r="E12">
        <v>450</v>
      </c>
      <c r="F12" t="s">
        <v>6</v>
      </c>
      <c r="G12" s="19" t="s">
        <v>37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17.25">
      <c r="A13" s="32"/>
      <c r="B13" s="6" t="s">
        <v>27</v>
      </c>
      <c r="C13" t="s">
        <v>7</v>
      </c>
      <c r="E13">
        <v>391</v>
      </c>
      <c r="F13" t="s">
        <v>6</v>
      </c>
      <c r="G13" s="19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17.25">
      <c r="A14" s="32"/>
      <c r="B14" s="6" t="s">
        <v>31</v>
      </c>
      <c r="C14" t="s">
        <v>32</v>
      </c>
      <c r="E14">
        <v>210000</v>
      </c>
      <c r="F14" t="s">
        <v>6</v>
      </c>
      <c r="G14" s="19" t="s">
        <v>36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>
      <c r="A15" s="32"/>
      <c r="B15" s="6" t="s">
        <v>33</v>
      </c>
      <c r="C15" t="s">
        <v>34</v>
      </c>
      <c r="D15" t="s">
        <v>35</v>
      </c>
      <c r="E15" s="16">
        <f>E13/E14</f>
        <v>1.8619047619047619E-3</v>
      </c>
      <c r="F15" t="s">
        <v>16</v>
      </c>
      <c r="G15" s="53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ht="15.75" thickBot="1">
      <c r="A16" s="32"/>
      <c r="B16" s="3" t="s">
        <v>21</v>
      </c>
      <c r="C16" s="12" t="s">
        <v>18</v>
      </c>
      <c r="D16" s="4"/>
      <c r="E16" s="4">
        <v>6.7500000000000004E-2</v>
      </c>
      <c r="F16" s="4" t="s">
        <v>16</v>
      </c>
      <c r="G16" s="17" t="s">
        <v>38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28" ht="15.75" thickBo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28">
      <c r="A18" s="32"/>
      <c r="B18" s="15" t="s">
        <v>14</v>
      </c>
      <c r="C18" s="1" t="s">
        <v>0</v>
      </c>
      <c r="D18" s="1" t="s">
        <v>1</v>
      </c>
      <c r="E18" s="1" t="s">
        <v>2</v>
      </c>
      <c r="F18" s="1" t="s">
        <v>3</v>
      </c>
      <c r="G18" s="2" t="s">
        <v>4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28" ht="15.75" thickBot="1">
      <c r="A19" s="32"/>
      <c r="B19" s="3" t="s">
        <v>39</v>
      </c>
      <c r="C19" s="4" t="s">
        <v>40</v>
      </c>
      <c r="D19" s="4"/>
      <c r="E19" s="54">
        <v>132</v>
      </c>
      <c r="F19" s="4" t="s">
        <v>41</v>
      </c>
      <c r="G19" s="5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spans="1:28" ht="15.75" thickBo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>
      <c r="A21" s="32"/>
      <c r="B21" s="10" t="s">
        <v>8</v>
      </c>
      <c r="C21" s="1" t="s">
        <v>0</v>
      </c>
      <c r="D21" s="1" t="s">
        <v>1</v>
      </c>
      <c r="E21" s="1" t="s">
        <v>2</v>
      </c>
      <c r="F21" s="1" t="s">
        <v>3</v>
      </c>
      <c r="G21" s="2" t="s">
        <v>4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spans="1:28">
      <c r="A22" s="32"/>
      <c r="B22" s="6" t="s">
        <v>42</v>
      </c>
      <c r="C22" t="s">
        <v>9</v>
      </c>
      <c r="E22" s="8">
        <v>2000</v>
      </c>
      <c r="F22" t="s">
        <v>12</v>
      </c>
      <c r="G22" s="230" t="s">
        <v>44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>
      <c r="A23" s="32"/>
      <c r="B23" s="6" t="s">
        <v>15</v>
      </c>
      <c r="C23" t="s">
        <v>11</v>
      </c>
      <c r="E23" s="8">
        <v>700</v>
      </c>
      <c r="F23" t="s">
        <v>12</v>
      </c>
      <c r="G23" s="230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spans="1:28" ht="15.75" thickBot="1">
      <c r="A24" s="32"/>
      <c r="B24" s="3" t="s">
        <v>43</v>
      </c>
      <c r="C24" s="4" t="s">
        <v>13</v>
      </c>
      <c r="D24" s="4"/>
      <c r="E24" s="55">
        <v>700</v>
      </c>
      <c r="F24" s="4" t="s">
        <v>12</v>
      </c>
      <c r="G24" s="5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spans="1:28" ht="15.75" thickBot="1">
      <c r="A25" s="32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28">
      <c r="A26" s="32"/>
      <c r="B26" s="10" t="s">
        <v>53</v>
      </c>
      <c r="C26" s="1" t="s">
        <v>0</v>
      </c>
      <c r="D26" s="1" t="s">
        <v>1</v>
      </c>
      <c r="E26" s="1" t="s">
        <v>2</v>
      </c>
      <c r="F26" s="1" t="s">
        <v>3</v>
      </c>
      <c r="G26" s="2" t="s">
        <v>4</v>
      </c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28">
      <c r="A27" s="32"/>
      <c r="B27" s="6" t="s">
        <v>59</v>
      </c>
      <c r="C27" t="s">
        <v>58</v>
      </c>
      <c r="D27" t="s">
        <v>60</v>
      </c>
      <c r="E27">
        <f>0.5*E6</f>
        <v>7.085</v>
      </c>
      <c r="F27" t="s">
        <v>61</v>
      </c>
      <c r="G27" s="7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>
      <c r="A28" s="32"/>
      <c r="B28" s="6" t="s">
        <v>62</v>
      </c>
      <c r="C28" t="s">
        <v>63</v>
      </c>
      <c r="E28">
        <v>1</v>
      </c>
      <c r="G28" s="20" t="s">
        <v>64</v>
      </c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 ht="18" customHeight="1" thickBot="1">
      <c r="A29" s="32"/>
      <c r="B29" s="3" t="s">
        <v>68</v>
      </c>
      <c r="C29" s="12" t="s">
        <v>65</v>
      </c>
      <c r="D29" s="4" t="s">
        <v>69</v>
      </c>
      <c r="E29" s="4">
        <v>0.5</v>
      </c>
      <c r="F29" s="4" t="s">
        <v>16</v>
      </c>
      <c r="G29" s="5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 ht="15.75" thickBot="1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>
      <c r="A31" s="32"/>
      <c r="B31" s="24" t="s">
        <v>72</v>
      </c>
      <c r="C31" s="1" t="s">
        <v>0</v>
      </c>
      <c r="D31" s="1" t="s">
        <v>1</v>
      </c>
      <c r="E31" s="1" t="s">
        <v>2</v>
      </c>
      <c r="F31" s="1" t="s">
        <v>3</v>
      </c>
      <c r="G31" s="2" t="s">
        <v>4</v>
      </c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>
      <c r="A32" s="32"/>
      <c r="B32" s="23" t="s">
        <v>75</v>
      </c>
      <c r="E32">
        <v>45</v>
      </c>
      <c r="F32" t="s">
        <v>49</v>
      </c>
      <c r="G32" s="7"/>
      <c r="H32" s="32"/>
      <c r="I32" s="32"/>
      <c r="J32" s="32"/>
      <c r="K32" s="32"/>
      <c r="L32" s="32"/>
      <c r="M32" s="32"/>
      <c r="N32" s="32"/>
      <c r="O32" s="32" t="s">
        <v>55</v>
      </c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>
      <c r="A33" s="32"/>
      <c r="B33" s="6" t="s">
        <v>76</v>
      </c>
      <c r="E33">
        <f>1/TAN(RADIANS(E32))</f>
        <v>1</v>
      </c>
      <c r="G33" s="7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 ht="15.75" thickBot="1">
      <c r="A34" s="58" t="s">
        <v>89</v>
      </c>
      <c r="B34" s="3" t="s">
        <v>73</v>
      </c>
      <c r="C34" s="56" t="s">
        <v>77</v>
      </c>
      <c r="D34" s="56"/>
      <c r="E34" s="57">
        <f>0.9*E24*E22*E28*E27*(E33/(1+E33^2))/1000</f>
        <v>4463.55</v>
      </c>
      <c r="F34" s="56" t="s">
        <v>41</v>
      </c>
      <c r="G34" s="60" t="str">
        <f>IF(E34&lt;E19,"MODIFICARE SEZIONE","SEZIONE CLS SUFFICIENTE")</f>
        <v>SEZIONE CLS SUFFICIENTE</v>
      </c>
      <c r="H34" s="43" t="s">
        <v>79</v>
      </c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>
      <c r="A35" s="59"/>
      <c r="B35" s="24" t="s">
        <v>74</v>
      </c>
      <c r="C35" s="1" t="s">
        <v>0</v>
      </c>
      <c r="D35" s="1" t="s">
        <v>1</v>
      </c>
      <c r="E35" s="1" t="s">
        <v>2</v>
      </c>
      <c r="F35" s="1" t="s">
        <v>3</v>
      </c>
      <c r="G35" s="2" t="s">
        <v>4</v>
      </c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>
      <c r="A36" s="59"/>
      <c r="B36" s="23" t="s">
        <v>75</v>
      </c>
      <c r="E36" s="18">
        <v>21.81</v>
      </c>
      <c r="F36" t="s">
        <v>49</v>
      </c>
      <c r="G36" s="7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>
      <c r="A37" s="59"/>
      <c r="B37" s="6" t="s">
        <v>76</v>
      </c>
      <c r="E37" s="18">
        <v>2.5</v>
      </c>
      <c r="G37" s="7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 ht="15.75" thickBot="1">
      <c r="A38" s="59"/>
      <c r="B38" s="3" t="s">
        <v>73</v>
      </c>
      <c r="C38" s="56" t="s">
        <v>78</v>
      </c>
      <c r="D38" s="56"/>
      <c r="E38" s="57">
        <f>0.9*E24*E22*E28*E27*(E37/(1+E37^2))/1000</f>
        <v>3078.3103448275865</v>
      </c>
      <c r="F38" s="56" t="s">
        <v>41</v>
      </c>
      <c r="G38" s="17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>
      <c r="A39" s="207" t="s">
        <v>90</v>
      </c>
      <c r="B39" s="215" t="str">
        <f>IF(AND(E19&gt;=E38,E19&lt;=E34),"Vsd compreso tra VRcd(45) e VRcd(21.8): USARE QUESTA SEZIONE PER DIMENSIONARE","taglio sollecitante minore di VRcd(21.8): NON USARE LA PROSSIMA SEZIONE, ANDARE DIRETTAMENTE A RIGA 46")</f>
        <v>taglio sollecitante minore di VRcd(21.8): NON USARE LA PROSSIMA SEZIONE, ANDARE DIRETTAMENTE A RIGA 46</v>
      </c>
      <c r="C39" s="216"/>
      <c r="D39" s="216"/>
      <c r="E39" s="216"/>
      <c r="F39" s="216"/>
      <c r="G39" s="217"/>
      <c r="H39" s="43" t="s">
        <v>79</v>
      </c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 ht="15.75" thickBot="1">
      <c r="A40" s="207"/>
      <c r="B40" s="218"/>
      <c r="C40" s="219"/>
      <c r="D40" s="219"/>
      <c r="E40" s="219"/>
      <c r="F40" s="219"/>
      <c r="G40" s="220"/>
      <c r="H40" s="32"/>
      <c r="I40" s="32"/>
      <c r="J40" s="32"/>
      <c r="K40" s="32"/>
      <c r="L40" s="32" t="s">
        <v>97</v>
      </c>
      <c r="M40" s="32" t="s">
        <v>98</v>
      </c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spans="1:28">
      <c r="A41" s="59"/>
      <c r="B41" s="9"/>
      <c r="C41" s="1" t="s">
        <v>0</v>
      </c>
      <c r="D41" s="1" t="s">
        <v>1</v>
      </c>
      <c r="E41" s="1" t="s">
        <v>2</v>
      </c>
      <c r="F41" s="1" t="s">
        <v>3</v>
      </c>
      <c r="G41" s="2" t="s">
        <v>4</v>
      </c>
      <c r="H41" s="208" t="s">
        <v>99</v>
      </c>
      <c r="I41" s="209"/>
      <c r="J41" s="209"/>
      <c r="K41" s="32" t="s">
        <v>96</v>
      </c>
      <c r="L41" s="32" t="s">
        <v>101</v>
      </c>
      <c r="M41" s="32" t="s">
        <v>102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 ht="15" customHeight="1">
      <c r="A42" s="59"/>
      <c r="B42" s="6" t="s">
        <v>80</v>
      </c>
      <c r="E42" s="22">
        <f>L42</f>
        <v>67.61475578343871</v>
      </c>
      <c r="G42" t="s">
        <v>100</v>
      </c>
      <c r="H42" s="208"/>
      <c r="I42" s="209"/>
      <c r="J42" s="209"/>
      <c r="K42" s="32">
        <f>SQRT((0.9*E24*E22*E28*E27/(E19*1000))^2-4*1*1)</f>
        <v>67.599966112331956</v>
      </c>
      <c r="L42" s="32">
        <f>((0.9*E24*E22*E28*E27/(E19*1000))+K42)/2</f>
        <v>67.61475578343871</v>
      </c>
      <c r="M42" s="32">
        <f>((0.9*E24*E22*E28*E27/(E19*1000))-K42)/2</f>
        <v>1.4789671106747448E-2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>
      <c r="A43" s="59"/>
      <c r="B43" s="6" t="s">
        <v>81</v>
      </c>
      <c r="E43" s="18">
        <f>DEGREES(1/ATAN(E42))</f>
        <v>36.822297386721104</v>
      </c>
      <c r="F43" t="s">
        <v>49</v>
      </c>
      <c r="G43" s="7"/>
      <c r="H43" s="44"/>
      <c r="I43" s="45"/>
      <c r="J43" s="45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>
      <c r="A44" s="59"/>
      <c r="B44" s="6" t="s">
        <v>66</v>
      </c>
      <c r="C44" s="11" t="s">
        <v>67</v>
      </c>
      <c r="D44" t="s">
        <v>83</v>
      </c>
      <c r="E44" s="18">
        <f>(E29*E28)/(E42^2+1)</f>
        <v>1.0934326859172919E-4</v>
      </c>
      <c r="F44" t="s">
        <v>16</v>
      </c>
      <c r="G44" s="7" t="s">
        <v>82</v>
      </c>
      <c r="H44" s="33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 ht="15.75" thickBot="1">
      <c r="A45" s="59"/>
      <c r="B45" s="28" t="s">
        <v>84</v>
      </c>
      <c r="C45" s="29" t="s">
        <v>85</v>
      </c>
      <c r="D45" s="30" t="s">
        <v>86</v>
      </c>
      <c r="E45" s="50">
        <f>E44*E22*E6/E13</f>
        <v>7.9252895956255891E-3</v>
      </c>
      <c r="F45" s="4" t="s">
        <v>12</v>
      </c>
      <c r="G45" s="5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>
      <c r="A46" s="207" t="s">
        <v>91</v>
      </c>
      <c r="B46" s="221" t="str">
        <f>IF(E19&lt;E38,"Vsd&lt;VRcd(21.8) USARE QUESTA SEZIONE PER DIMENSIONARE","taglio sollecitante MAGGIORE di VRcd(21.8): UTILIZZARE PARTE ALLA RIGA 46")</f>
        <v>Vsd&lt;VRcd(21.8) USARE QUESTA SEZIONE PER DIMENSIONARE</v>
      </c>
      <c r="C46" s="222"/>
      <c r="D46" s="222"/>
      <c r="E46" s="222"/>
      <c r="F46" s="222"/>
      <c r="G46" s="223"/>
      <c r="H46" s="43" t="s">
        <v>79</v>
      </c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spans="1:28" ht="15.75" thickBot="1">
      <c r="A47" s="207"/>
      <c r="B47" s="224"/>
      <c r="C47" s="225"/>
      <c r="D47" s="225"/>
      <c r="E47" s="225"/>
      <c r="F47" s="225"/>
      <c r="G47" s="226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spans="1:28">
      <c r="A48" s="32"/>
      <c r="B48" s="9"/>
      <c r="C48" s="1" t="s">
        <v>0</v>
      </c>
      <c r="D48" s="1" t="s">
        <v>1</v>
      </c>
      <c r="E48" s="1" t="s">
        <v>2</v>
      </c>
      <c r="F48" s="1" t="s">
        <v>3</v>
      </c>
      <c r="G48" s="2" t="s">
        <v>4</v>
      </c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>
      <c r="A49" s="32"/>
      <c r="B49" s="23" t="s">
        <v>75</v>
      </c>
      <c r="E49" s="18"/>
      <c r="F49" t="s">
        <v>49</v>
      </c>
      <c r="G49" s="7"/>
      <c r="H49" s="32"/>
      <c r="I49" s="32"/>
      <c r="J49" s="32"/>
      <c r="K49" s="32"/>
      <c r="L49" s="32"/>
      <c r="M49" s="32"/>
      <c r="N49" s="32" t="s">
        <v>51</v>
      </c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>
      <c r="A50" s="32"/>
      <c r="B50" s="6" t="s">
        <v>76</v>
      </c>
      <c r="E50" s="18">
        <v>2</v>
      </c>
      <c r="G50" s="7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1:28" ht="15.75" thickBot="1">
      <c r="A51" s="32"/>
      <c r="B51" s="28" t="s">
        <v>84</v>
      </c>
      <c r="C51" s="30" t="s">
        <v>85</v>
      </c>
      <c r="D51" s="30" t="s">
        <v>88</v>
      </c>
      <c r="E51" s="50">
        <f>E19*1000/(0.9*E24*E13*E50)</f>
        <v>0.26793326026062597</v>
      </c>
      <c r="F51" s="4" t="s">
        <v>12</v>
      </c>
      <c r="G51" s="5" t="s">
        <v>87</v>
      </c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15.75" thickBot="1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ht="33.75" customHeight="1">
      <c r="A53" s="32"/>
      <c r="B53" s="32"/>
      <c r="C53" s="61" t="s">
        <v>92</v>
      </c>
      <c r="D53" s="61"/>
      <c r="E53" s="61"/>
      <c r="F53" s="61"/>
      <c r="G53" s="61"/>
      <c r="H53" s="32"/>
      <c r="I53" s="32"/>
      <c r="J53" s="32"/>
      <c r="K53" s="32"/>
      <c r="L53" s="32"/>
      <c r="M53" s="231" t="s">
        <v>95</v>
      </c>
      <c r="N53" s="232"/>
      <c r="O53" s="232"/>
      <c r="P53" s="232"/>
      <c r="Q53" s="232"/>
      <c r="R53" s="232"/>
      <c r="S53" s="232"/>
      <c r="T53" s="232"/>
      <c r="U53" s="232"/>
      <c r="V53" s="232"/>
      <c r="W53" s="232"/>
      <c r="X53" s="233"/>
      <c r="Y53" s="32"/>
      <c r="Z53" s="32"/>
      <c r="AA53" s="32"/>
      <c r="AB53" s="32"/>
    </row>
    <row r="54" spans="1:28" ht="15.75" customHeight="1" thickBot="1">
      <c r="A54" s="32"/>
      <c r="B54" s="32"/>
      <c r="C54" s="40"/>
      <c r="D54" s="40"/>
      <c r="E54" s="40"/>
      <c r="F54" s="40"/>
      <c r="G54" s="40"/>
      <c r="H54" s="32"/>
      <c r="I54" s="32"/>
      <c r="J54" s="32"/>
      <c r="K54" s="32"/>
      <c r="L54" s="32"/>
      <c r="M54" s="234"/>
      <c r="N54" s="235"/>
      <c r="O54" s="235"/>
      <c r="P54" s="235"/>
      <c r="Q54" s="235"/>
      <c r="R54" s="235"/>
      <c r="S54" s="235"/>
      <c r="T54" s="235"/>
      <c r="U54" s="235"/>
      <c r="V54" s="235"/>
      <c r="W54" s="235"/>
      <c r="X54" s="236"/>
      <c r="Y54" s="32"/>
      <c r="Z54" s="32"/>
      <c r="AA54" s="32"/>
      <c r="AB54" s="32"/>
    </row>
    <row r="55" spans="1:28" ht="20.25" customHeight="1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25">
        <v>5</v>
      </c>
      <c r="N55" s="25">
        <v>8</v>
      </c>
      <c r="O55" s="25">
        <v>10</v>
      </c>
      <c r="P55" s="25">
        <v>12</v>
      </c>
      <c r="Q55" s="25">
        <v>14</v>
      </c>
      <c r="R55" s="25">
        <v>16</v>
      </c>
      <c r="S55" s="25">
        <v>18</v>
      </c>
      <c r="T55" s="25">
        <v>20</v>
      </c>
      <c r="U55" s="25">
        <v>22</v>
      </c>
      <c r="V55" s="25">
        <v>24</v>
      </c>
      <c r="W55" s="25">
        <v>26</v>
      </c>
      <c r="X55" s="25">
        <v>30</v>
      </c>
      <c r="Y55" s="32"/>
      <c r="Z55" s="32"/>
      <c r="AA55" s="32"/>
      <c r="AB55" s="32"/>
    </row>
    <row r="56" spans="1:28" ht="15" customHeight="1">
      <c r="A56" s="32"/>
      <c r="B56" s="210" t="s">
        <v>103</v>
      </c>
      <c r="C56" s="210"/>
      <c r="D56" s="210"/>
      <c r="E56" s="210"/>
      <c r="F56" s="210"/>
      <c r="G56" s="210"/>
      <c r="H56" s="32"/>
      <c r="I56" s="32"/>
      <c r="J56" s="32"/>
      <c r="K56" s="32"/>
      <c r="L56" s="32"/>
      <c r="M56" s="51" t="e">
        <f>#REF!</f>
        <v>#REF!</v>
      </c>
      <c r="N56" s="51" t="e">
        <f>#REF!</f>
        <v>#REF!</v>
      </c>
      <c r="O56" s="51" t="e">
        <f>#REF!</f>
        <v>#REF!</v>
      </c>
      <c r="P56" s="51" t="e">
        <f>#REF!</f>
        <v>#REF!</v>
      </c>
      <c r="Q56" s="51" t="e">
        <f>#REF!</f>
        <v>#REF!</v>
      </c>
      <c r="R56" s="51" t="e">
        <f>#REF!</f>
        <v>#REF!</v>
      </c>
      <c r="S56" s="51" t="e">
        <f>#REF!</f>
        <v>#REF!</v>
      </c>
      <c r="T56" s="51" t="e">
        <f>#REF!</f>
        <v>#REF!</v>
      </c>
      <c r="U56" s="51" t="e">
        <f>#REF!</f>
        <v>#REF!</v>
      </c>
      <c r="V56" s="51" t="e">
        <f>#REF!</f>
        <v>#REF!</v>
      </c>
      <c r="W56" s="51" t="e">
        <f>#REF!</f>
        <v>#REF!</v>
      </c>
      <c r="X56" s="51" t="e">
        <f>#REF!</f>
        <v>#REF!</v>
      </c>
      <c r="Y56" s="32"/>
      <c r="Z56" s="32"/>
      <c r="AA56" s="32"/>
      <c r="AB56" s="32"/>
    </row>
    <row r="57" spans="1:28" ht="15.75" customHeight="1" thickBot="1">
      <c r="A57" s="32"/>
      <c r="B57" s="210" t="s">
        <v>104</v>
      </c>
      <c r="C57" s="210"/>
      <c r="D57" s="210"/>
      <c r="E57" s="210"/>
      <c r="F57" s="210"/>
      <c r="G57" s="210"/>
      <c r="H57" s="32"/>
      <c r="I57" s="32"/>
      <c r="J57" s="32"/>
      <c r="L57" s="26">
        <v>10</v>
      </c>
      <c r="M57" s="52" t="e">
        <f t="shared" ref="M57:M76" si="0">$M$56/L57</f>
        <v>#REF!</v>
      </c>
      <c r="N57" s="52" t="e">
        <f t="shared" ref="N57:N76" si="1">$N$56/L57</f>
        <v>#REF!</v>
      </c>
      <c r="O57" s="52" t="e">
        <f t="shared" ref="O57:O76" si="2">$O$56/L57</f>
        <v>#REF!</v>
      </c>
      <c r="P57" s="52" t="e">
        <f t="shared" ref="P57:P76" si="3">$P$56/L57</f>
        <v>#REF!</v>
      </c>
      <c r="Q57" s="52" t="e">
        <f t="shared" ref="Q57:Q76" si="4">$Q$56/L57</f>
        <v>#REF!</v>
      </c>
      <c r="R57" s="52" t="e">
        <f t="shared" ref="R57:R76" si="5">$R$56/L57</f>
        <v>#REF!</v>
      </c>
      <c r="S57" s="52" t="e">
        <f t="shared" ref="S57:S76" si="6">$S$56/L57</f>
        <v>#REF!</v>
      </c>
      <c r="T57" s="52" t="e">
        <f t="shared" ref="T57:T76" si="7">$T$56/L57</f>
        <v>#REF!</v>
      </c>
      <c r="U57" s="52" t="e">
        <f t="shared" ref="U57:U76" si="8">$U$56/L57</f>
        <v>#REF!</v>
      </c>
      <c r="V57" s="52" t="e">
        <f t="shared" ref="V57:V76" si="9">$V$56/L57</f>
        <v>#REF!</v>
      </c>
      <c r="W57" s="52" t="e">
        <f t="shared" ref="W57:W76" si="10">$W$56/L57</f>
        <v>#REF!</v>
      </c>
      <c r="X57" s="52" t="e">
        <f t="shared" ref="X57:X76" si="11">$X$56/L57</f>
        <v>#REF!</v>
      </c>
      <c r="Y57" s="32"/>
      <c r="Z57" s="32"/>
      <c r="AA57" s="32"/>
      <c r="AB57" s="32"/>
    </row>
    <row r="58" spans="1:28" ht="18.75" customHeight="1" thickBot="1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211" t="s">
        <v>94</v>
      </c>
      <c r="L58" s="27">
        <v>20</v>
      </c>
      <c r="M58" s="52" t="e">
        <f t="shared" si="0"/>
        <v>#REF!</v>
      </c>
      <c r="N58" s="52" t="e">
        <f t="shared" si="1"/>
        <v>#REF!</v>
      </c>
      <c r="O58" s="52" t="e">
        <f t="shared" si="2"/>
        <v>#REF!</v>
      </c>
      <c r="P58" s="52" t="e">
        <f t="shared" si="3"/>
        <v>#REF!</v>
      </c>
      <c r="Q58" s="52" t="e">
        <f t="shared" si="4"/>
        <v>#REF!</v>
      </c>
      <c r="R58" s="52" t="e">
        <f t="shared" si="5"/>
        <v>#REF!</v>
      </c>
      <c r="S58" s="52" t="e">
        <f t="shared" si="6"/>
        <v>#REF!</v>
      </c>
      <c r="T58" s="52" t="e">
        <f t="shared" si="7"/>
        <v>#REF!</v>
      </c>
      <c r="U58" s="52" t="e">
        <f t="shared" si="8"/>
        <v>#REF!</v>
      </c>
      <c r="V58" s="52" t="e">
        <f t="shared" si="9"/>
        <v>#REF!</v>
      </c>
      <c r="W58" s="52" t="e">
        <f t="shared" si="10"/>
        <v>#REF!</v>
      </c>
      <c r="X58" s="52" t="e">
        <f t="shared" si="11"/>
        <v>#REF!</v>
      </c>
      <c r="Y58" s="32"/>
      <c r="Z58" s="32"/>
      <c r="AA58" s="32"/>
      <c r="AB58" s="32"/>
    </row>
    <row r="59" spans="1:28" ht="15" customHeight="1">
      <c r="B59" s="24" t="s">
        <v>105</v>
      </c>
      <c r="C59" s="41" t="s">
        <v>0</v>
      </c>
      <c r="D59" s="41" t="s">
        <v>1</v>
      </c>
      <c r="E59" s="41" t="s">
        <v>2</v>
      </c>
      <c r="F59" s="41" t="s">
        <v>3</v>
      </c>
      <c r="G59" s="42" t="s">
        <v>4</v>
      </c>
      <c r="H59" s="32"/>
      <c r="I59" s="32"/>
      <c r="J59" s="32"/>
      <c r="K59" s="212"/>
      <c r="L59" s="27">
        <v>30</v>
      </c>
      <c r="M59" s="52" t="e">
        <f t="shared" si="0"/>
        <v>#REF!</v>
      </c>
      <c r="N59" s="52" t="e">
        <f t="shared" si="1"/>
        <v>#REF!</v>
      </c>
      <c r="O59" s="52" t="e">
        <f t="shared" si="2"/>
        <v>#REF!</v>
      </c>
      <c r="P59" s="52" t="e">
        <f t="shared" si="3"/>
        <v>#REF!</v>
      </c>
      <c r="Q59" s="52" t="e">
        <f t="shared" si="4"/>
        <v>#REF!</v>
      </c>
      <c r="R59" s="52" t="e">
        <f t="shared" si="5"/>
        <v>#REF!</v>
      </c>
      <c r="S59" s="52" t="e">
        <f t="shared" si="6"/>
        <v>#REF!</v>
      </c>
      <c r="T59" s="52" t="e">
        <f t="shared" si="7"/>
        <v>#REF!</v>
      </c>
      <c r="U59" s="52" t="e">
        <f t="shared" si="8"/>
        <v>#REF!</v>
      </c>
      <c r="V59" s="52" t="e">
        <f t="shared" si="9"/>
        <v>#REF!</v>
      </c>
      <c r="W59" s="52" t="e">
        <f t="shared" si="10"/>
        <v>#REF!</v>
      </c>
      <c r="X59" s="52" t="e">
        <f t="shared" si="11"/>
        <v>#REF!</v>
      </c>
      <c r="Y59" s="32"/>
      <c r="Z59" s="32"/>
      <c r="AA59" s="32"/>
      <c r="AB59" s="32"/>
    </row>
    <row r="60" spans="1:28" ht="15" customHeight="1">
      <c r="A60" s="32"/>
      <c r="B60" s="33"/>
      <c r="C60" s="32" t="s">
        <v>93</v>
      </c>
      <c r="D60" s="32" t="s">
        <v>106</v>
      </c>
      <c r="E60" s="32">
        <f>1.5*E22</f>
        <v>3000</v>
      </c>
      <c r="F60" s="32" t="s">
        <v>107</v>
      </c>
      <c r="G60" s="34" t="s">
        <v>108</v>
      </c>
      <c r="H60" s="32"/>
      <c r="I60" s="32"/>
      <c r="J60" s="32"/>
      <c r="K60" s="212"/>
      <c r="L60" s="27">
        <v>40</v>
      </c>
      <c r="M60" s="52" t="e">
        <f t="shared" si="0"/>
        <v>#REF!</v>
      </c>
      <c r="N60" s="52" t="e">
        <f t="shared" si="1"/>
        <v>#REF!</v>
      </c>
      <c r="O60" s="52" t="e">
        <f t="shared" si="2"/>
        <v>#REF!</v>
      </c>
      <c r="P60" s="52" t="e">
        <f t="shared" si="3"/>
        <v>#REF!</v>
      </c>
      <c r="Q60" s="52" t="e">
        <f t="shared" si="4"/>
        <v>#REF!</v>
      </c>
      <c r="R60" s="52" t="e">
        <f t="shared" si="5"/>
        <v>#REF!</v>
      </c>
      <c r="S60" s="52" t="e">
        <f t="shared" si="6"/>
        <v>#REF!</v>
      </c>
      <c r="T60" s="52" t="e">
        <f t="shared" si="7"/>
        <v>#REF!</v>
      </c>
      <c r="U60" s="52" t="e">
        <f t="shared" si="8"/>
        <v>#REF!</v>
      </c>
      <c r="V60" s="52" t="e">
        <f t="shared" si="9"/>
        <v>#REF!</v>
      </c>
      <c r="W60" s="52" t="e">
        <f t="shared" si="10"/>
        <v>#REF!</v>
      </c>
      <c r="X60" s="52" t="e">
        <f t="shared" si="11"/>
        <v>#REF!</v>
      </c>
      <c r="Y60" s="32"/>
      <c r="Z60" s="32"/>
      <c r="AA60" s="32"/>
      <c r="AB60" s="32"/>
    </row>
    <row r="61" spans="1:28" ht="15" customHeight="1" thickBot="1">
      <c r="A61" s="32"/>
      <c r="B61" s="35" t="s">
        <v>109</v>
      </c>
      <c r="C61" s="36" t="s">
        <v>50</v>
      </c>
      <c r="D61" s="37" t="s">
        <v>110</v>
      </c>
      <c r="E61" s="37">
        <f>MIN(330,0.8*E24)</f>
        <v>330</v>
      </c>
      <c r="F61" s="37" t="s">
        <v>12</v>
      </c>
      <c r="G61" s="38"/>
      <c r="H61" s="32"/>
      <c r="I61" s="32"/>
      <c r="J61" s="32"/>
      <c r="K61" s="212"/>
      <c r="L61" s="27">
        <v>50</v>
      </c>
      <c r="M61" s="52" t="e">
        <f t="shared" si="0"/>
        <v>#REF!</v>
      </c>
      <c r="N61" s="52" t="e">
        <f t="shared" si="1"/>
        <v>#REF!</v>
      </c>
      <c r="O61" s="52" t="e">
        <f t="shared" si="2"/>
        <v>#REF!</v>
      </c>
      <c r="P61" s="52" t="e">
        <f t="shared" si="3"/>
        <v>#REF!</v>
      </c>
      <c r="Q61" s="52" t="e">
        <f t="shared" si="4"/>
        <v>#REF!</v>
      </c>
      <c r="R61" s="52" t="e">
        <f t="shared" si="5"/>
        <v>#REF!</v>
      </c>
      <c r="S61" s="52" t="e">
        <f t="shared" si="6"/>
        <v>#REF!</v>
      </c>
      <c r="T61" s="52" t="e">
        <f t="shared" si="7"/>
        <v>#REF!</v>
      </c>
      <c r="U61" s="52" t="e">
        <f t="shared" si="8"/>
        <v>#REF!</v>
      </c>
      <c r="V61" s="52" t="e">
        <f t="shared" si="9"/>
        <v>#REF!</v>
      </c>
      <c r="W61" s="52" t="e">
        <f t="shared" si="10"/>
        <v>#REF!</v>
      </c>
      <c r="X61" s="52" t="e">
        <f t="shared" si="11"/>
        <v>#REF!</v>
      </c>
      <c r="Y61" s="32"/>
      <c r="Z61" s="32"/>
      <c r="AA61" s="32"/>
      <c r="AB61" s="32"/>
    </row>
    <row r="62" spans="1:28" ht="15" customHeight="1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212"/>
      <c r="L62" s="27">
        <v>60</v>
      </c>
      <c r="M62" s="52" t="e">
        <f t="shared" si="0"/>
        <v>#REF!</v>
      </c>
      <c r="N62" s="52" t="e">
        <f t="shared" si="1"/>
        <v>#REF!</v>
      </c>
      <c r="O62" s="52" t="e">
        <f t="shared" si="2"/>
        <v>#REF!</v>
      </c>
      <c r="P62" s="52" t="e">
        <f t="shared" si="3"/>
        <v>#REF!</v>
      </c>
      <c r="Q62" s="52" t="e">
        <f t="shared" si="4"/>
        <v>#REF!</v>
      </c>
      <c r="R62" s="52" t="e">
        <f t="shared" si="5"/>
        <v>#REF!</v>
      </c>
      <c r="S62" s="52" t="e">
        <f t="shared" si="6"/>
        <v>#REF!</v>
      </c>
      <c r="T62" s="52" t="e">
        <f t="shared" si="7"/>
        <v>#REF!</v>
      </c>
      <c r="U62" s="52" t="e">
        <f t="shared" si="8"/>
        <v>#REF!</v>
      </c>
      <c r="V62" s="52" t="e">
        <f t="shared" si="9"/>
        <v>#REF!</v>
      </c>
      <c r="W62" s="52" t="e">
        <f t="shared" si="10"/>
        <v>#REF!</v>
      </c>
      <c r="X62" s="52" t="e">
        <f t="shared" si="11"/>
        <v>#REF!</v>
      </c>
      <c r="Y62" s="32"/>
      <c r="Z62" s="32"/>
      <c r="AA62" s="32"/>
      <c r="AB62" s="32"/>
    </row>
    <row r="63" spans="1:28" ht="15" customHeight="1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212"/>
      <c r="L63" s="27">
        <v>70</v>
      </c>
      <c r="M63" s="52" t="e">
        <f t="shared" si="0"/>
        <v>#REF!</v>
      </c>
      <c r="N63" s="52" t="e">
        <f t="shared" si="1"/>
        <v>#REF!</v>
      </c>
      <c r="O63" s="52" t="e">
        <f t="shared" si="2"/>
        <v>#REF!</v>
      </c>
      <c r="P63" s="52" t="e">
        <f t="shared" si="3"/>
        <v>#REF!</v>
      </c>
      <c r="Q63" s="52" t="e">
        <f t="shared" si="4"/>
        <v>#REF!</v>
      </c>
      <c r="R63" s="52" t="e">
        <f t="shared" si="5"/>
        <v>#REF!</v>
      </c>
      <c r="S63" s="52" t="e">
        <f t="shared" si="6"/>
        <v>#REF!</v>
      </c>
      <c r="T63" s="52" t="e">
        <f t="shared" si="7"/>
        <v>#REF!</v>
      </c>
      <c r="U63" s="52" t="e">
        <f t="shared" si="8"/>
        <v>#REF!</v>
      </c>
      <c r="V63" s="52" t="e">
        <f t="shared" si="9"/>
        <v>#REF!</v>
      </c>
      <c r="W63" s="52" t="e">
        <f t="shared" si="10"/>
        <v>#REF!</v>
      </c>
      <c r="X63" s="52" t="e">
        <f t="shared" si="11"/>
        <v>#REF!</v>
      </c>
      <c r="Y63" s="32"/>
      <c r="Z63" s="32"/>
      <c r="AA63" s="32"/>
      <c r="AB63" s="32"/>
    </row>
    <row r="64" spans="1:28" ht="1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212"/>
      <c r="L64" s="27">
        <v>80</v>
      </c>
      <c r="M64" s="52" t="e">
        <f t="shared" si="0"/>
        <v>#REF!</v>
      </c>
      <c r="N64" s="52" t="e">
        <f t="shared" si="1"/>
        <v>#REF!</v>
      </c>
      <c r="O64" s="52" t="e">
        <f t="shared" si="2"/>
        <v>#REF!</v>
      </c>
      <c r="P64" s="52" t="e">
        <f t="shared" si="3"/>
        <v>#REF!</v>
      </c>
      <c r="Q64" s="52" t="e">
        <f t="shared" si="4"/>
        <v>#REF!</v>
      </c>
      <c r="R64" s="52" t="e">
        <f t="shared" si="5"/>
        <v>#REF!</v>
      </c>
      <c r="S64" s="52" t="e">
        <f t="shared" si="6"/>
        <v>#REF!</v>
      </c>
      <c r="T64" s="52" t="e">
        <f t="shared" si="7"/>
        <v>#REF!</v>
      </c>
      <c r="U64" s="52" t="e">
        <f t="shared" si="8"/>
        <v>#REF!</v>
      </c>
      <c r="V64" s="52" t="e">
        <f t="shared" si="9"/>
        <v>#REF!</v>
      </c>
      <c r="W64" s="52" t="e">
        <f t="shared" si="10"/>
        <v>#REF!</v>
      </c>
      <c r="X64" s="52" t="e">
        <f t="shared" si="11"/>
        <v>#REF!</v>
      </c>
      <c r="Y64" s="32"/>
      <c r="Z64" s="32"/>
      <c r="AA64" s="32"/>
      <c r="AB64" s="32"/>
    </row>
    <row r="65" spans="1:28" ht="1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212"/>
      <c r="L65" s="27">
        <v>90</v>
      </c>
      <c r="M65" s="52" t="e">
        <f t="shared" si="0"/>
        <v>#REF!</v>
      </c>
      <c r="N65" s="52" t="e">
        <f t="shared" si="1"/>
        <v>#REF!</v>
      </c>
      <c r="O65" s="52" t="e">
        <f t="shared" si="2"/>
        <v>#REF!</v>
      </c>
      <c r="P65" s="52" t="e">
        <f t="shared" si="3"/>
        <v>#REF!</v>
      </c>
      <c r="Q65" s="52" t="e">
        <f t="shared" si="4"/>
        <v>#REF!</v>
      </c>
      <c r="R65" s="52" t="e">
        <f t="shared" si="5"/>
        <v>#REF!</v>
      </c>
      <c r="S65" s="52" t="e">
        <f t="shared" si="6"/>
        <v>#REF!</v>
      </c>
      <c r="T65" s="52" t="e">
        <f t="shared" si="7"/>
        <v>#REF!</v>
      </c>
      <c r="U65" s="52" t="e">
        <f t="shared" si="8"/>
        <v>#REF!</v>
      </c>
      <c r="V65" s="52" t="e">
        <f t="shared" si="9"/>
        <v>#REF!</v>
      </c>
      <c r="W65" s="52" t="e">
        <f t="shared" si="10"/>
        <v>#REF!</v>
      </c>
      <c r="X65" s="52" t="e">
        <f t="shared" si="11"/>
        <v>#REF!</v>
      </c>
      <c r="Y65" s="32"/>
      <c r="Z65" s="32"/>
      <c r="AA65" s="32"/>
      <c r="AB65" s="32"/>
    </row>
    <row r="66" spans="1:28" ht="1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212"/>
      <c r="L66" s="27">
        <v>100</v>
      </c>
      <c r="M66" s="52" t="e">
        <f t="shared" si="0"/>
        <v>#REF!</v>
      </c>
      <c r="N66" s="52" t="e">
        <f t="shared" si="1"/>
        <v>#REF!</v>
      </c>
      <c r="O66" s="52" t="e">
        <f t="shared" si="2"/>
        <v>#REF!</v>
      </c>
      <c r="P66" s="52" t="e">
        <f t="shared" si="3"/>
        <v>#REF!</v>
      </c>
      <c r="Q66" s="52" t="e">
        <f t="shared" si="4"/>
        <v>#REF!</v>
      </c>
      <c r="R66" s="52" t="e">
        <f t="shared" si="5"/>
        <v>#REF!</v>
      </c>
      <c r="S66" s="52" t="e">
        <f t="shared" si="6"/>
        <v>#REF!</v>
      </c>
      <c r="T66" s="52" t="e">
        <f t="shared" si="7"/>
        <v>#REF!</v>
      </c>
      <c r="U66" s="52" t="e">
        <f t="shared" si="8"/>
        <v>#REF!</v>
      </c>
      <c r="V66" s="52" t="e">
        <f t="shared" si="9"/>
        <v>#REF!</v>
      </c>
      <c r="W66" s="52" t="e">
        <f t="shared" si="10"/>
        <v>#REF!</v>
      </c>
      <c r="X66" s="52" t="e">
        <f t="shared" si="11"/>
        <v>#REF!</v>
      </c>
      <c r="Y66" s="32"/>
      <c r="Z66" s="32"/>
      <c r="AA66" s="32"/>
      <c r="AB66" s="32"/>
    </row>
    <row r="67" spans="1:28" ht="1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212"/>
      <c r="L67" s="27">
        <v>110</v>
      </c>
      <c r="M67" s="52" t="e">
        <f t="shared" si="0"/>
        <v>#REF!</v>
      </c>
      <c r="N67" s="52" t="e">
        <f t="shared" si="1"/>
        <v>#REF!</v>
      </c>
      <c r="O67" s="52" t="e">
        <f t="shared" si="2"/>
        <v>#REF!</v>
      </c>
      <c r="P67" s="52" t="e">
        <f t="shared" si="3"/>
        <v>#REF!</v>
      </c>
      <c r="Q67" s="52" t="e">
        <f t="shared" si="4"/>
        <v>#REF!</v>
      </c>
      <c r="R67" s="52" t="e">
        <f t="shared" si="5"/>
        <v>#REF!</v>
      </c>
      <c r="S67" s="52" t="e">
        <f t="shared" si="6"/>
        <v>#REF!</v>
      </c>
      <c r="T67" s="52" t="e">
        <f t="shared" si="7"/>
        <v>#REF!</v>
      </c>
      <c r="U67" s="52" t="e">
        <f t="shared" si="8"/>
        <v>#REF!</v>
      </c>
      <c r="V67" s="52" t="e">
        <f t="shared" si="9"/>
        <v>#REF!</v>
      </c>
      <c r="W67" s="52" t="e">
        <f t="shared" si="10"/>
        <v>#REF!</v>
      </c>
      <c r="X67" s="52" t="e">
        <f t="shared" si="11"/>
        <v>#REF!</v>
      </c>
      <c r="Y67" s="32"/>
      <c r="Z67" s="32"/>
      <c r="AA67" s="32"/>
      <c r="AB67" s="32"/>
    </row>
    <row r="68" spans="1:28" ht="1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212"/>
      <c r="L68" s="27">
        <v>120</v>
      </c>
      <c r="M68" s="52" t="e">
        <f t="shared" si="0"/>
        <v>#REF!</v>
      </c>
      <c r="N68" s="52" t="e">
        <f t="shared" si="1"/>
        <v>#REF!</v>
      </c>
      <c r="O68" s="52" t="e">
        <f t="shared" si="2"/>
        <v>#REF!</v>
      </c>
      <c r="P68" s="52" t="e">
        <f t="shared" si="3"/>
        <v>#REF!</v>
      </c>
      <c r="Q68" s="52" t="e">
        <f t="shared" si="4"/>
        <v>#REF!</v>
      </c>
      <c r="R68" s="52" t="e">
        <f t="shared" si="5"/>
        <v>#REF!</v>
      </c>
      <c r="S68" s="52" t="e">
        <f t="shared" si="6"/>
        <v>#REF!</v>
      </c>
      <c r="T68" s="52" t="e">
        <f t="shared" si="7"/>
        <v>#REF!</v>
      </c>
      <c r="U68" s="52" t="e">
        <f t="shared" si="8"/>
        <v>#REF!</v>
      </c>
      <c r="V68" s="52" t="e">
        <f t="shared" si="9"/>
        <v>#REF!</v>
      </c>
      <c r="W68" s="52" t="e">
        <f t="shared" si="10"/>
        <v>#REF!</v>
      </c>
      <c r="X68" s="52" t="e">
        <f t="shared" si="11"/>
        <v>#REF!</v>
      </c>
      <c r="Y68" s="32"/>
      <c r="Z68" s="32"/>
      <c r="AA68" s="32"/>
      <c r="AB68" s="32"/>
    </row>
    <row r="69" spans="1:28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212"/>
      <c r="L69" s="27">
        <v>130</v>
      </c>
      <c r="M69" s="52" t="e">
        <f t="shared" si="0"/>
        <v>#REF!</v>
      </c>
      <c r="N69" s="52" t="e">
        <f t="shared" si="1"/>
        <v>#REF!</v>
      </c>
      <c r="O69" s="52" t="e">
        <f t="shared" si="2"/>
        <v>#REF!</v>
      </c>
      <c r="P69" s="52" t="e">
        <f t="shared" si="3"/>
        <v>#REF!</v>
      </c>
      <c r="Q69" s="52" t="e">
        <f t="shared" si="4"/>
        <v>#REF!</v>
      </c>
      <c r="R69" s="52" t="e">
        <f t="shared" si="5"/>
        <v>#REF!</v>
      </c>
      <c r="S69" s="52" t="e">
        <f t="shared" si="6"/>
        <v>#REF!</v>
      </c>
      <c r="T69" s="52" t="e">
        <f t="shared" si="7"/>
        <v>#REF!</v>
      </c>
      <c r="U69" s="52" t="e">
        <f t="shared" si="8"/>
        <v>#REF!</v>
      </c>
      <c r="V69" s="52" t="e">
        <f t="shared" si="9"/>
        <v>#REF!</v>
      </c>
      <c r="W69" s="52" t="e">
        <f t="shared" si="10"/>
        <v>#REF!</v>
      </c>
      <c r="X69" s="52" t="e">
        <f t="shared" si="11"/>
        <v>#REF!</v>
      </c>
      <c r="Y69" s="32"/>
      <c r="Z69" s="32"/>
      <c r="AA69" s="32"/>
      <c r="AB69" s="32"/>
    </row>
    <row r="70" spans="1:28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212"/>
      <c r="L70" s="27">
        <v>140</v>
      </c>
      <c r="M70" s="52" t="e">
        <f t="shared" si="0"/>
        <v>#REF!</v>
      </c>
      <c r="N70" s="52" t="e">
        <f t="shared" si="1"/>
        <v>#REF!</v>
      </c>
      <c r="O70" s="52" t="e">
        <f t="shared" si="2"/>
        <v>#REF!</v>
      </c>
      <c r="P70" s="52" t="e">
        <f t="shared" si="3"/>
        <v>#REF!</v>
      </c>
      <c r="Q70" s="52" t="e">
        <f t="shared" si="4"/>
        <v>#REF!</v>
      </c>
      <c r="R70" s="52" t="e">
        <f t="shared" si="5"/>
        <v>#REF!</v>
      </c>
      <c r="S70" s="52" t="e">
        <f t="shared" si="6"/>
        <v>#REF!</v>
      </c>
      <c r="T70" s="52" t="e">
        <f t="shared" si="7"/>
        <v>#REF!</v>
      </c>
      <c r="U70" s="52" t="e">
        <f t="shared" si="8"/>
        <v>#REF!</v>
      </c>
      <c r="V70" s="52" t="e">
        <f t="shared" si="9"/>
        <v>#REF!</v>
      </c>
      <c r="W70" s="52" t="e">
        <f t="shared" si="10"/>
        <v>#REF!</v>
      </c>
      <c r="X70" s="52" t="e">
        <f t="shared" si="11"/>
        <v>#REF!</v>
      </c>
      <c r="Y70" s="32"/>
      <c r="Z70" s="32"/>
      <c r="AA70" s="32"/>
      <c r="AB70" s="32"/>
    </row>
    <row r="71" spans="1:28" ht="1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212"/>
      <c r="L71" s="27">
        <v>150</v>
      </c>
      <c r="M71" s="52" t="e">
        <f t="shared" si="0"/>
        <v>#REF!</v>
      </c>
      <c r="N71" s="52" t="e">
        <f t="shared" si="1"/>
        <v>#REF!</v>
      </c>
      <c r="O71" s="52" t="e">
        <f t="shared" si="2"/>
        <v>#REF!</v>
      </c>
      <c r="P71" s="52" t="e">
        <f t="shared" si="3"/>
        <v>#REF!</v>
      </c>
      <c r="Q71" s="52" t="e">
        <f t="shared" si="4"/>
        <v>#REF!</v>
      </c>
      <c r="R71" s="52" t="e">
        <f t="shared" si="5"/>
        <v>#REF!</v>
      </c>
      <c r="S71" s="52" t="e">
        <f t="shared" si="6"/>
        <v>#REF!</v>
      </c>
      <c r="T71" s="52" t="e">
        <f t="shared" si="7"/>
        <v>#REF!</v>
      </c>
      <c r="U71" s="52" t="e">
        <f t="shared" si="8"/>
        <v>#REF!</v>
      </c>
      <c r="V71" s="52" t="e">
        <f t="shared" si="9"/>
        <v>#REF!</v>
      </c>
      <c r="W71" s="52" t="e">
        <f t="shared" si="10"/>
        <v>#REF!</v>
      </c>
      <c r="X71" s="52" t="e">
        <f t="shared" si="11"/>
        <v>#REF!</v>
      </c>
      <c r="Y71" s="32"/>
      <c r="Z71" s="32"/>
      <c r="AA71" s="32"/>
      <c r="AB71" s="32"/>
    </row>
    <row r="72" spans="1:28" ht="1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212"/>
      <c r="L72" s="27">
        <v>160</v>
      </c>
      <c r="M72" s="52" t="e">
        <f t="shared" si="0"/>
        <v>#REF!</v>
      </c>
      <c r="N72" s="52" t="e">
        <f t="shared" si="1"/>
        <v>#REF!</v>
      </c>
      <c r="O72" s="52" t="e">
        <f t="shared" si="2"/>
        <v>#REF!</v>
      </c>
      <c r="P72" s="52" t="e">
        <f t="shared" si="3"/>
        <v>#REF!</v>
      </c>
      <c r="Q72" s="52" t="e">
        <f t="shared" si="4"/>
        <v>#REF!</v>
      </c>
      <c r="R72" s="52" t="e">
        <f t="shared" si="5"/>
        <v>#REF!</v>
      </c>
      <c r="S72" s="52" t="e">
        <f t="shared" si="6"/>
        <v>#REF!</v>
      </c>
      <c r="T72" s="52" t="e">
        <f t="shared" si="7"/>
        <v>#REF!</v>
      </c>
      <c r="U72" s="52" t="e">
        <f t="shared" si="8"/>
        <v>#REF!</v>
      </c>
      <c r="V72" s="52" t="e">
        <f t="shared" si="9"/>
        <v>#REF!</v>
      </c>
      <c r="W72" s="52" t="e">
        <f t="shared" si="10"/>
        <v>#REF!</v>
      </c>
      <c r="X72" s="52" t="e">
        <f t="shared" si="11"/>
        <v>#REF!</v>
      </c>
      <c r="Y72" s="32"/>
      <c r="Z72" s="32"/>
      <c r="AA72" s="32"/>
      <c r="AB72" s="32"/>
    </row>
    <row r="73" spans="1:28" ht="1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212"/>
      <c r="L73" s="27">
        <v>170</v>
      </c>
      <c r="M73" s="52" t="e">
        <f t="shared" si="0"/>
        <v>#REF!</v>
      </c>
      <c r="N73" s="52" t="e">
        <f t="shared" si="1"/>
        <v>#REF!</v>
      </c>
      <c r="O73" s="52" t="e">
        <f t="shared" si="2"/>
        <v>#REF!</v>
      </c>
      <c r="P73" s="52" t="e">
        <f t="shared" si="3"/>
        <v>#REF!</v>
      </c>
      <c r="Q73" s="52" t="e">
        <f t="shared" si="4"/>
        <v>#REF!</v>
      </c>
      <c r="R73" s="52" t="e">
        <f t="shared" si="5"/>
        <v>#REF!</v>
      </c>
      <c r="S73" s="52" t="e">
        <f t="shared" si="6"/>
        <v>#REF!</v>
      </c>
      <c r="T73" s="52" t="e">
        <f t="shared" si="7"/>
        <v>#REF!</v>
      </c>
      <c r="U73" s="52" t="e">
        <f t="shared" si="8"/>
        <v>#REF!</v>
      </c>
      <c r="V73" s="52" t="e">
        <f t="shared" si="9"/>
        <v>#REF!</v>
      </c>
      <c r="W73" s="52" t="e">
        <f t="shared" si="10"/>
        <v>#REF!</v>
      </c>
      <c r="X73" s="52" t="e">
        <f t="shared" si="11"/>
        <v>#REF!</v>
      </c>
      <c r="Y73" s="32"/>
      <c r="Z73" s="32"/>
      <c r="AA73" s="32"/>
      <c r="AB73" s="32"/>
    </row>
    <row r="74" spans="1:28" ht="1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212"/>
      <c r="L74" s="27">
        <v>180</v>
      </c>
      <c r="M74" s="52" t="e">
        <f t="shared" si="0"/>
        <v>#REF!</v>
      </c>
      <c r="N74" s="52" t="e">
        <f t="shared" si="1"/>
        <v>#REF!</v>
      </c>
      <c r="O74" s="52" t="e">
        <f t="shared" si="2"/>
        <v>#REF!</v>
      </c>
      <c r="P74" s="52" t="e">
        <f t="shared" si="3"/>
        <v>#REF!</v>
      </c>
      <c r="Q74" s="52" t="e">
        <f t="shared" si="4"/>
        <v>#REF!</v>
      </c>
      <c r="R74" s="52" t="e">
        <f t="shared" si="5"/>
        <v>#REF!</v>
      </c>
      <c r="S74" s="52" t="e">
        <f t="shared" si="6"/>
        <v>#REF!</v>
      </c>
      <c r="T74" s="52" t="e">
        <f t="shared" si="7"/>
        <v>#REF!</v>
      </c>
      <c r="U74" s="52" t="e">
        <f t="shared" si="8"/>
        <v>#REF!</v>
      </c>
      <c r="V74" s="52" t="e">
        <f t="shared" si="9"/>
        <v>#REF!</v>
      </c>
      <c r="W74" s="52" t="e">
        <f t="shared" si="10"/>
        <v>#REF!</v>
      </c>
      <c r="X74" s="52" t="e">
        <f t="shared" si="11"/>
        <v>#REF!</v>
      </c>
      <c r="Y74" s="32"/>
      <c r="Z74" s="32"/>
      <c r="AA74" s="32"/>
      <c r="AB74" s="32"/>
    </row>
    <row r="75" spans="1:28" ht="1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212"/>
      <c r="L75" s="27">
        <v>190</v>
      </c>
      <c r="M75" s="52" t="e">
        <f t="shared" si="0"/>
        <v>#REF!</v>
      </c>
      <c r="N75" s="52" t="e">
        <f t="shared" si="1"/>
        <v>#REF!</v>
      </c>
      <c r="O75" s="52" t="e">
        <f t="shared" si="2"/>
        <v>#REF!</v>
      </c>
      <c r="P75" s="52" t="e">
        <f t="shared" si="3"/>
        <v>#REF!</v>
      </c>
      <c r="Q75" s="52" t="e">
        <f t="shared" si="4"/>
        <v>#REF!</v>
      </c>
      <c r="R75" s="52" t="e">
        <f t="shared" si="5"/>
        <v>#REF!</v>
      </c>
      <c r="S75" s="52" t="e">
        <f t="shared" si="6"/>
        <v>#REF!</v>
      </c>
      <c r="T75" s="52" t="e">
        <f t="shared" si="7"/>
        <v>#REF!</v>
      </c>
      <c r="U75" s="52" t="e">
        <f t="shared" si="8"/>
        <v>#REF!</v>
      </c>
      <c r="V75" s="52" t="e">
        <f t="shared" si="9"/>
        <v>#REF!</v>
      </c>
      <c r="W75" s="52" t="e">
        <f t="shared" si="10"/>
        <v>#REF!</v>
      </c>
      <c r="X75" s="52" t="e">
        <f t="shared" si="11"/>
        <v>#REF!</v>
      </c>
      <c r="Y75" s="32"/>
      <c r="Z75" s="32"/>
      <c r="AA75" s="32"/>
      <c r="AB75" s="32"/>
    </row>
    <row r="76" spans="1:28" ht="15.7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212"/>
      <c r="L76" s="27">
        <v>200</v>
      </c>
      <c r="M76" s="52" t="e">
        <f t="shared" si="0"/>
        <v>#REF!</v>
      </c>
      <c r="N76" s="52" t="e">
        <f t="shared" si="1"/>
        <v>#REF!</v>
      </c>
      <c r="O76" s="52" t="e">
        <f t="shared" si="2"/>
        <v>#REF!</v>
      </c>
      <c r="P76" s="52" t="e">
        <f t="shared" si="3"/>
        <v>#REF!</v>
      </c>
      <c r="Q76" s="52" t="e">
        <f t="shared" si="4"/>
        <v>#REF!</v>
      </c>
      <c r="R76" s="52" t="e">
        <f t="shared" si="5"/>
        <v>#REF!</v>
      </c>
      <c r="S76" s="52" t="e">
        <f t="shared" si="6"/>
        <v>#REF!</v>
      </c>
      <c r="T76" s="52" t="e">
        <f t="shared" si="7"/>
        <v>#REF!</v>
      </c>
      <c r="U76" s="52" t="e">
        <f t="shared" si="8"/>
        <v>#REF!</v>
      </c>
      <c r="V76" s="52" t="e">
        <f t="shared" si="9"/>
        <v>#REF!</v>
      </c>
      <c r="W76" s="52" t="e">
        <f t="shared" si="10"/>
        <v>#REF!</v>
      </c>
      <c r="X76" s="52" t="e">
        <f t="shared" si="11"/>
        <v>#REF!</v>
      </c>
      <c r="Y76" s="32"/>
      <c r="Z76" s="32"/>
      <c r="AA76" s="32"/>
      <c r="AB76" s="32"/>
    </row>
    <row r="77" spans="1:28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212"/>
      <c r="L77" s="27">
        <v>210</v>
      </c>
      <c r="M77" s="52" t="e">
        <f t="shared" ref="M77:M89" si="12">$M$56/L77</f>
        <v>#REF!</v>
      </c>
      <c r="N77" s="52" t="e">
        <f t="shared" ref="N77:N89" si="13">$N$56/L77</f>
        <v>#REF!</v>
      </c>
      <c r="O77" s="52" t="e">
        <f t="shared" ref="O77:O89" si="14">$O$56/L77</f>
        <v>#REF!</v>
      </c>
      <c r="P77" s="52" t="e">
        <f t="shared" ref="P77:P89" si="15">$P$56/L77</f>
        <v>#REF!</v>
      </c>
      <c r="Q77" s="52" t="e">
        <f t="shared" ref="Q77:Q89" si="16">$Q$56/L77</f>
        <v>#REF!</v>
      </c>
      <c r="R77" s="52" t="e">
        <f t="shared" ref="R77:R89" si="17">$R$56/L77</f>
        <v>#REF!</v>
      </c>
      <c r="S77" s="52" t="e">
        <f t="shared" ref="S77:S89" si="18">$S$56/L77</f>
        <v>#REF!</v>
      </c>
      <c r="T77" s="52" t="e">
        <f t="shared" ref="T77:T89" si="19">$T$56/L77</f>
        <v>#REF!</v>
      </c>
      <c r="U77" s="52" t="e">
        <f t="shared" ref="U77:U89" si="20">$U$56/L77</f>
        <v>#REF!</v>
      </c>
      <c r="V77" s="52" t="e">
        <f t="shared" ref="V77:V89" si="21">$V$56/L77</f>
        <v>#REF!</v>
      </c>
      <c r="W77" s="52" t="e">
        <f t="shared" ref="W77:W89" si="22">$W$56/L77</f>
        <v>#REF!</v>
      </c>
      <c r="X77" s="52" t="e">
        <f t="shared" ref="X77:X89" si="23">$X$56/L77</f>
        <v>#REF!</v>
      </c>
      <c r="Y77" s="32"/>
      <c r="Z77" s="32"/>
      <c r="AA77" s="32"/>
      <c r="AB77" s="32"/>
    </row>
    <row r="78" spans="1:28" ht="1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212"/>
      <c r="L78" s="27">
        <v>220</v>
      </c>
      <c r="M78" s="52" t="e">
        <f t="shared" si="12"/>
        <v>#REF!</v>
      </c>
      <c r="N78" s="52" t="e">
        <f t="shared" si="13"/>
        <v>#REF!</v>
      </c>
      <c r="O78" s="52" t="e">
        <f t="shared" si="14"/>
        <v>#REF!</v>
      </c>
      <c r="P78" s="52" t="e">
        <f t="shared" si="15"/>
        <v>#REF!</v>
      </c>
      <c r="Q78" s="52" t="e">
        <f t="shared" si="16"/>
        <v>#REF!</v>
      </c>
      <c r="R78" s="52" t="e">
        <f t="shared" si="17"/>
        <v>#REF!</v>
      </c>
      <c r="S78" s="52" t="e">
        <f t="shared" si="18"/>
        <v>#REF!</v>
      </c>
      <c r="T78" s="52" t="e">
        <f t="shared" si="19"/>
        <v>#REF!</v>
      </c>
      <c r="U78" s="52" t="e">
        <f t="shared" si="20"/>
        <v>#REF!</v>
      </c>
      <c r="V78" s="52" t="e">
        <f t="shared" si="21"/>
        <v>#REF!</v>
      </c>
      <c r="W78" s="52" t="e">
        <f t="shared" si="22"/>
        <v>#REF!</v>
      </c>
      <c r="X78" s="52" t="e">
        <f t="shared" si="23"/>
        <v>#REF!</v>
      </c>
      <c r="Y78" s="32"/>
      <c r="Z78" s="32"/>
      <c r="AA78" s="32"/>
      <c r="AB78" s="32"/>
    </row>
    <row r="79" spans="1:28" ht="1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212"/>
      <c r="L79" s="27">
        <v>230</v>
      </c>
      <c r="M79" s="52" t="e">
        <f t="shared" si="12"/>
        <v>#REF!</v>
      </c>
      <c r="N79" s="52" t="e">
        <f t="shared" si="13"/>
        <v>#REF!</v>
      </c>
      <c r="O79" s="52" t="e">
        <f t="shared" si="14"/>
        <v>#REF!</v>
      </c>
      <c r="P79" s="52" t="e">
        <f t="shared" si="15"/>
        <v>#REF!</v>
      </c>
      <c r="Q79" s="52" t="e">
        <f t="shared" si="16"/>
        <v>#REF!</v>
      </c>
      <c r="R79" s="52" t="e">
        <f t="shared" si="17"/>
        <v>#REF!</v>
      </c>
      <c r="S79" s="52" t="e">
        <f t="shared" si="18"/>
        <v>#REF!</v>
      </c>
      <c r="T79" s="52" t="e">
        <f t="shared" si="19"/>
        <v>#REF!</v>
      </c>
      <c r="U79" s="52" t="e">
        <f t="shared" si="20"/>
        <v>#REF!</v>
      </c>
      <c r="V79" s="52" t="e">
        <f t="shared" si="21"/>
        <v>#REF!</v>
      </c>
      <c r="W79" s="52" t="e">
        <f t="shared" si="22"/>
        <v>#REF!</v>
      </c>
      <c r="X79" s="52" t="e">
        <f t="shared" si="23"/>
        <v>#REF!</v>
      </c>
      <c r="Y79" s="32"/>
      <c r="Z79" s="32"/>
      <c r="AA79" s="32"/>
      <c r="AB79" s="32"/>
    </row>
    <row r="80" spans="1:28" ht="1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212"/>
      <c r="L80" s="27">
        <v>240</v>
      </c>
      <c r="M80" s="52" t="e">
        <f t="shared" si="12"/>
        <v>#REF!</v>
      </c>
      <c r="N80" s="52" t="e">
        <f t="shared" si="13"/>
        <v>#REF!</v>
      </c>
      <c r="O80" s="52" t="e">
        <f t="shared" si="14"/>
        <v>#REF!</v>
      </c>
      <c r="P80" s="52" t="e">
        <f t="shared" si="15"/>
        <v>#REF!</v>
      </c>
      <c r="Q80" s="52" t="e">
        <f t="shared" si="16"/>
        <v>#REF!</v>
      </c>
      <c r="R80" s="52" t="e">
        <f t="shared" si="17"/>
        <v>#REF!</v>
      </c>
      <c r="S80" s="52" t="e">
        <f t="shared" si="18"/>
        <v>#REF!</v>
      </c>
      <c r="T80" s="52" t="e">
        <f t="shared" si="19"/>
        <v>#REF!</v>
      </c>
      <c r="U80" s="52" t="e">
        <f t="shared" si="20"/>
        <v>#REF!</v>
      </c>
      <c r="V80" s="52" t="e">
        <f t="shared" si="21"/>
        <v>#REF!</v>
      </c>
      <c r="W80" s="52" t="e">
        <f t="shared" si="22"/>
        <v>#REF!</v>
      </c>
      <c r="X80" s="52" t="e">
        <f t="shared" si="23"/>
        <v>#REF!</v>
      </c>
      <c r="Y80" s="32"/>
      <c r="Z80" s="32"/>
      <c r="AA80" s="32"/>
      <c r="AB80" s="32"/>
    </row>
    <row r="81" spans="1:28" ht="1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212"/>
      <c r="L81" s="27">
        <v>250</v>
      </c>
      <c r="M81" s="52" t="e">
        <f t="shared" si="12"/>
        <v>#REF!</v>
      </c>
      <c r="N81" s="52" t="e">
        <f t="shared" si="13"/>
        <v>#REF!</v>
      </c>
      <c r="O81" s="52" t="e">
        <f t="shared" si="14"/>
        <v>#REF!</v>
      </c>
      <c r="P81" s="52" t="e">
        <f t="shared" si="15"/>
        <v>#REF!</v>
      </c>
      <c r="Q81" s="52" t="e">
        <f t="shared" si="16"/>
        <v>#REF!</v>
      </c>
      <c r="R81" s="52" t="e">
        <f t="shared" si="17"/>
        <v>#REF!</v>
      </c>
      <c r="S81" s="52" t="e">
        <f t="shared" si="18"/>
        <v>#REF!</v>
      </c>
      <c r="T81" s="52" t="e">
        <f t="shared" si="19"/>
        <v>#REF!</v>
      </c>
      <c r="U81" s="52" t="e">
        <f t="shared" si="20"/>
        <v>#REF!</v>
      </c>
      <c r="V81" s="52" t="e">
        <f t="shared" si="21"/>
        <v>#REF!</v>
      </c>
      <c r="W81" s="52" t="e">
        <f t="shared" si="22"/>
        <v>#REF!</v>
      </c>
      <c r="X81" s="52" t="e">
        <f t="shared" si="23"/>
        <v>#REF!</v>
      </c>
      <c r="Y81" s="32"/>
      <c r="Z81" s="32"/>
      <c r="AA81" s="32"/>
      <c r="AB81" s="32"/>
    </row>
    <row r="82" spans="1:28" ht="1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212"/>
      <c r="L82" s="27">
        <v>260</v>
      </c>
      <c r="M82" s="52" t="e">
        <f t="shared" si="12"/>
        <v>#REF!</v>
      </c>
      <c r="N82" s="52" t="e">
        <f t="shared" si="13"/>
        <v>#REF!</v>
      </c>
      <c r="O82" s="52" t="e">
        <f t="shared" si="14"/>
        <v>#REF!</v>
      </c>
      <c r="P82" s="52" t="e">
        <f t="shared" si="15"/>
        <v>#REF!</v>
      </c>
      <c r="Q82" s="52" t="e">
        <f t="shared" si="16"/>
        <v>#REF!</v>
      </c>
      <c r="R82" s="52" t="e">
        <f t="shared" si="17"/>
        <v>#REF!</v>
      </c>
      <c r="S82" s="52" t="e">
        <f t="shared" si="18"/>
        <v>#REF!</v>
      </c>
      <c r="T82" s="52" t="e">
        <f t="shared" si="19"/>
        <v>#REF!</v>
      </c>
      <c r="U82" s="52" t="e">
        <f t="shared" si="20"/>
        <v>#REF!</v>
      </c>
      <c r="V82" s="52" t="e">
        <f t="shared" si="21"/>
        <v>#REF!</v>
      </c>
      <c r="W82" s="52" t="e">
        <f t="shared" si="22"/>
        <v>#REF!</v>
      </c>
      <c r="X82" s="52" t="e">
        <f t="shared" si="23"/>
        <v>#REF!</v>
      </c>
      <c r="Y82" s="32"/>
      <c r="Z82" s="32"/>
      <c r="AA82" s="32"/>
      <c r="AB82" s="32"/>
    </row>
    <row r="83" spans="1:28" ht="1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212"/>
      <c r="L83" s="27">
        <v>270</v>
      </c>
      <c r="M83" s="52" t="e">
        <f t="shared" si="12"/>
        <v>#REF!</v>
      </c>
      <c r="N83" s="52" t="e">
        <f t="shared" si="13"/>
        <v>#REF!</v>
      </c>
      <c r="O83" s="52" t="e">
        <f t="shared" si="14"/>
        <v>#REF!</v>
      </c>
      <c r="P83" s="52" t="e">
        <f t="shared" si="15"/>
        <v>#REF!</v>
      </c>
      <c r="Q83" s="52" t="e">
        <f t="shared" si="16"/>
        <v>#REF!</v>
      </c>
      <c r="R83" s="52" t="e">
        <f t="shared" si="17"/>
        <v>#REF!</v>
      </c>
      <c r="S83" s="52" t="e">
        <f t="shared" si="18"/>
        <v>#REF!</v>
      </c>
      <c r="T83" s="52" t="e">
        <f t="shared" si="19"/>
        <v>#REF!</v>
      </c>
      <c r="U83" s="52" t="e">
        <f t="shared" si="20"/>
        <v>#REF!</v>
      </c>
      <c r="V83" s="52" t="e">
        <f t="shared" si="21"/>
        <v>#REF!</v>
      </c>
      <c r="W83" s="52" t="e">
        <f t="shared" si="22"/>
        <v>#REF!</v>
      </c>
      <c r="X83" s="52" t="e">
        <f t="shared" si="23"/>
        <v>#REF!</v>
      </c>
      <c r="Y83" s="32"/>
      <c r="Z83" s="32"/>
      <c r="AA83" s="32"/>
      <c r="AB83" s="32"/>
    </row>
    <row r="84" spans="1:28" ht="1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212"/>
      <c r="L84" s="27">
        <v>280</v>
      </c>
      <c r="M84" s="52" t="e">
        <f t="shared" si="12"/>
        <v>#REF!</v>
      </c>
      <c r="N84" s="52" t="e">
        <f t="shared" si="13"/>
        <v>#REF!</v>
      </c>
      <c r="O84" s="52" t="e">
        <f t="shared" si="14"/>
        <v>#REF!</v>
      </c>
      <c r="P84" s="52" t="e">
        <f t="shared" si="15"/>
        <v>#REF!</v>
      </c>
      <c r="Q84" s="52" t="e">
        <f t="shared" si="16"/>
        <v>#REF!</v>
      </c>
      <c r="R84" s="52" t="e">
        <f t="shared" si="17"/>
        <v>#REF!</v>
      </c>
      <c r="S84" s="52" t="e">
        <f t="shared" si="18"/>
        <v>#REF!</v>
      </c>
      <c r="T84" s="52" t="e">
        <f t="shared" si="19"/>
        <v>#REF!</v>
      </c>
      <c r="U84" s="52" t="e">
        <f t="shared" si="20"/>
        <v>#REF!</v>
      </c>
      <c r="V84" s="52" t="e">
        <f t="shared" si="21"/>
        <v>#REF!</v>
      </c>
      <c r="W84" s="52" t="e">
        <f t="shared" si="22"/>
        <v>#REF!</v>
      </c>
      <c r="X84" s="52" t="e">
        <f t="shared" si="23"/>
        <v>#REF!</v>
      </c>
      <c r="Y84" s="32"/>
      <c r="Z84" s="32"/>
      <c r="AA84" s="32"/>
      <c r="AB84" s="32"/>
    </row>
    <row r="85" spans="1:28" ht="1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212"/>
      <c r="L85" s="27">
        <v>290</v>
      </c>
      <c r="M85" s="52" t="e">
        <f t="shared" si="12"/>
        <v>#REF!</v>
      </c>
      <c r="N85" s="52" t="e">
        <f t="shared" si="13"/>
        <v>#REF!</v>
      </c>
      <c r="O85" s="52" t="e">
        <f t="shared" si="14"/>
        <v>#REF!</v>
      </c>
      <c r="P85" s="52" t="e">
        <f t="shared" si="15"/>
        <v>#REF!</v>
      </c>
      <c r="Q85" s="52" t="e">
        <f t="shared" si="16"/>
        <v>#REF!</v>
      </c>
      <c r="R85" s="52" t="e">
        <f t="shared" si="17"/>
        <v>#REF!</v>
      </c>
      <c r="S85" s="52" t="e">
        <f t="shared" si="18"/>
        <v>#REF!</v>
      </c>
      <c r="T85" s="52" t="e">
        <f t="shared" si="19"/>
        <v>#REF!</v>
      </c>
      <c r="U85" s="52" t="e">
        <f t="shared" si="20"/>
        <v>#REF!</v>
      </c>
      <c r="V85" s="52" t="e">
        <f t="shared" si="21"/>
        <v>#REF!</v>
      </c>
      <c r="W85" s="52" t="e">
        <f t="shared" si="22"/>
        <v>#REF!</v>
      </c>
      <c r="X85" s="52" t="e">
        <f t="shared" si="23"/>
        <v>#REF!</v>
      </c>
      <c r="Y85" s="32"/>
      <c r="Z85" s="32"/>
      <c r="AA85" s="32"/>
      <c r="AB85" s="32"/>
    </row>
    <row r="86" spans="1:28" ht="1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212"/>
      <c r="L86" s="27">
        <v>300</v>
      </c>
      <c r="M86" s="52" t="e">
        <f t="shared" si="12"/>
        <v>#REF!</v>
      </c>
      <c r="N86" s="52" t="e">
        <f t="shared" si="13"/>
        <v>#REF!</v>
      </c>
      <c r="O86" s="52" t="e">
        <f t="shared" si="14"/>
        <v>#REF!</v>
      </c>
      <c r="P86" s="52" t="e">
        <f t="shared" si="15"/>
        <v>#REF!</v>
      </c>
      <c r="Q86" s="52" t="e">
        <f t="shared" si="16"/>
        <v>#REF!</v>
      </c>
      <c r="R86" s="52" t="e">
        <f t="shared" si="17"/>
        <v>#REF!</v>
      </c>
      <c r="S86" s="52" t="e">
        <f t="shared" si="18"/>
        <v>#REF!</v>
      </c>
      <c r="T86" s="52" t="e">
        <f t="shared" si="19"/>
        <v>#REF!</v>
      </c>
      <c r="U86" s="52" t="e">
        <f t="shared" si="20"/>
        <v>#REF!</v>
      </c>
      <c r="V86" s="52" t="e">
        <f t="shared" si="21"/>
        <v>#REF!</v>
      </c>
      <c r="W86" s="52" t="e">
        <f t="shared" si="22"/>
        <v>#REF!</v>
      </c>
      <c r="X86" s="52" t="e">
        <f t="shared" si="23"/>
        <v>#REF!</v>
      </c>
      <c r="Y86" s="32"/>
      <c r="Z86" s="32"/>
      <c r="AA86" s="32"/>
      <c r="AB86" s="32"/>
    </row>
    <row r="87" spans="1:28" ht="1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212"/>
      <c r="L87" s="27">
        <v>310</v>
      </c>
      <c r="M87" s="52" t="e">
        <f t="shared" si="12"/>
        <v>#REF!</v>
      </c>
      <c r="N87" s="52" t="e">
        <f t="shared" si="13"/>
        <v>#REF!</v>
      </c>
      <c r="O87" s="52" t="e">
        <f t="shared" si="14"/>
        <v>#REF!</v>
      </c>
      <c r="P87" s="52" t="e">
        <f t="shared" si="15"/>
        <v>#REF!</v>
      </c>
      <c r="Q87" s="52" t="e">
        <f t="shared" si="16"/>
        <v>#REF!</v>
      </c>
      <c r="R87" s="52" t="e">
        <f t="shared" si="17"/>
        <v>#REF!</v>
      </c>
      <c r="S87" s="52" t="e">
        <f t="shared" si="18"/>
        <v>#REF!</v>
      </c>
      <c r="T87" s="52" t="e">
        <f t="shared" si="19"/>
        <v>#REF!</v>
      </c>
      <c r="U87" s="52" t="e">
        <f t="shared" si="20"/>
        <v>#REF!</v>
      </c>
      <c r="V87" s="52" t="e">
        <f t="shared" si="21"/>
        <v>#REF!</v>
      </c>
      <c r="W87" s="52" t="e">
        <f t="shared" si="22"/>
        <v>#REF!</v>
      </c>
      <c r="X87" s="52" t="e">
        <f t="shared" si="23"/>
        <v>#REF!</v>
      </c>
      <c r="Y87" s="32"/>
      <c r="Z87" s="32"/>
      <c r="AA87" s="32"/>
      <c r="AB87" s="32"/>
    </row>
    <row r="88" spans="1:28" ht="1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212"/>
      <c r="L88" s="27">
        <v>320</v>
      </c>
      <c r="M88" s="52" t="e">
        <f t="shared" si="12"/>
        <v>#REF!</v>
      </c>
      <c r="N88" s="52" t="e">
        <f t="shared" si="13"/>
        <v>#REF!</v>
      </c>
      <c r="O88" s="52" t="e">
        <f t="shared" si="14"/>
        <v>#REF!</v>
      </c>
      <c r="P88" s="52" t="e">
        <f t="shared" si="15"/>
        <v>#REF!</v>
      </c>
      <c r="Q88" s="52" t="e">
        <f t="shared" si="16"/>
        <v>#REF!</v>
      </c>
      <c r="R88" s="52" t="e">
        <f t="shared" si="17"/>
        <v>#REF!</v>
      </c>
      <c r="S88" s="52" t="e">
        <f t="shared" si="18"/>
        <v>#REF!</v>
      </c>
      <c r="T88" s="52" t="e">
        <f t="shared" si="19"/>
        <v>#REF!</v>
      </c>
      <c r="U88" s="52" t="e">
        <f t="shared" si="20"/>
        <v>#REF!</v>
      </c>
      <c r="V88" s="52" t="e">
        <f t="shared" si="21"/>
        <v>#REF!</v>
      </c>
      <c r="W88" s="52" t="e">
        <f t="shared" si="22"/>
        <v>#REF!</v>
      </c>
      <c r="X88" s="52" t="e">
        <f t="shared" si="23"/>
        <v>#REF!</v>
      </c>
      <c r="Y88" s="32"/>
      <c r="Z88" s="32"/>
      <c r="AA88" s="32"/>
      <c r="AB88" s="32"/>
    </row>
    <row r="89" spans="1:28" ht="15" customHeight="1" thickBo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213"/>
      <c r="L89" s="47">
        <v>330</v>
      </c>
      <c r="M89" s="52" t="e">
        <f t="shared" si="12"/>
        <v>#REF!</v>
      </c>
      <c r="N89" s="52" t="e">
        <f t="shared" si="13"/>
        <v>#REF!</v>
      </c>
      <c r="O89" s="52" t="e">
        <f t="shared" si="14"/>
        <v>#REF!</v>
      </c>
      <c r="P89" s="52" t="e">
        <f t="shared" si="15"/>
        <v>#REF!</v>
      </c>
      <c r="Q89" s="52" t="e">
        <f t="shared" si="16"/>
        <v>#REF!</v>
      </c>
      <c r="R89" s="52" t="e">
        <f t="shared" si="17"/>
        <v>#REF!</v>
      </c>
      <c r="S89" s="52" t="e">
        <f t="shared" si="18"/>
        <v>#REF!</v>
      </c>
      <c r="T89" s="52" t="e">
        <f t="shared" si="19"/>
        <v>#REF!</v>
      </c>
      <c r="U89" s="52" t="e">
        <f t="shared" si="20"/>
        <v>#REF!</v>
      </c>
      <c r="V89" s="52" t="e">
        <f t="shared" si="21"/>
        <v>#REF!</v>
      </c>
      <c r="W89" s="52" t="e">
        <f t="shared" si="22"/>
        <v>#REF!</v>
      </c>
      <c r="X89" s="52" t="e">
        <f t="shared" si="23"/>
        <v>#REF!</v>
      </c>
      <c r="Y89" s="32"/>
      <c r="Z89" s="32"/>
      <c r="AA89" s="32"/>
      <c r="AB89" s="32"/>
    </row>
    <row r="90" spans="1:28" ht="15" customHeigh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48"/>
      <c r="L90" s="49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</row>
    <row r="91" spans="1:28" ht="1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48"/>
      <c r="L91" s="49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1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48"/>
      <c r="L92" s="49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1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48"/>
      <c r="L93" s="49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1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48"/>
      <c r="L94" s="49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5.7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48"/>
      <c r="L95" s="49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1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48"/>
      <c r="L96" s="49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4" ht="1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48"/>
      <c r="L97" s="49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</row>
    <row r="98" spans="1:24" ht="1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48"/>
      <c r="L98" s="49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4" ht="1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48"/>
      <c r="L99" s="49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4" ht="1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48"/>
      <c r="L100" s="49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4" ht="1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48"/>
      <c r="L101" s="49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4" ht="1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48"/>
      <c r="L102" s="49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4" ht="1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48"/>
      <c r="L103" s="49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4" ht="1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48"/>
      <c r="L104" s="49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4" ht="1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48"/>
      <c r="L105" s="49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4" ht="1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48"/>
      <c r="L106" s="49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4" ht="15" customHeight="1">
      <c r="I107" s="31"/>
    </row>
    <row r="108" spans="1:24" ht="15" customHeight="1">
      <c r="I108" s="31"/>
    </row>
    <row r="109" spans="1:24" ht="15" customHeight="1">
      <c r="I109" s="31"/>
    </row>
    <row r="110" spans="1:24" ht="15" customHeight="1">
      <c r="I110" s="31"/>
    </row>
    <row r="111" spans="1:24" ht="15" customHeight="1">
      <c r="I111" s="31"/>
    </row>
    <row r="112" spans="1:24" ht="15" customHeight="1">
      <c r="I112" s="31"/>
    </row>
    <row r="113" spans="9:9" ht="15" customHeight="1">
      <c r="I113" s="31"/>
    </row>
    <row r="114" spans="9:9" ht="15.75" customHeight="1">
      <c r="I114" s="31"/>
    </row>
  </sheetData>
  <mergeCells count="14">
    <mergeCell ref="K58:K89"/>
    <mergeCell ref="B1:G2"/>
    <mergeCell ref="B39:G40"/>
    <mergeCell ref="B46:G47"/>
    <mergeCell ref="J5:K5"/>
    <mergeCell ref="G7:G8"/>
    <mergeCell ref="I7:N7"/>
    <mergeCell ref="G22:G23"/>
    <mergeCell ref="M53:X54"/>
    <mergeCell ref="A39:A40"/>
    <mergeCell ref="A46:A47"/>
    <mergeCell ref="H41:J42"/>
    <mergeCell ref="B57:G57"/>
    <mergeCell ref="B56:G56"/>
  </mergeCells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Foglio5"/>
  <dimension ref="A1:AB117"/>
  <sheetViews>
    <sheetView showGridLines="0" tabSelected="1" zoomScale="115" zoomScaleNormal="115" workbookViewId="0">
      <pane ySplit="5" topLeftCell="A19" activePane="bottomLeft" state="frozen"/>
      <selection pane="bottomLeft" activeCell="K53" sqref="K53"/>
    </sheetView>
  </sheetViews>
  <sheetFormatPr defaultColWidth="9.140625" defaultRowHeight="14.1" customHeight="1" outlineLevelRow="1"/>
  <cols>
    <col min="1" max="2" width="1.42578125" style="119" customWidth="1"/>
    <col min="3" max="3" width="41.140625" style="119" customWidth="1"/>
    <col min="4" max="4" width="11.7109375" style="119" customWidth="1"/>
    <col min="5" max="5" width="14.7109375" style="119" customWidth="1"/>
    <col min="6" max="6" width="10.85546875" style="119" customWidth="1"/>
    <col min="7" max="7" width="12.28515625" style="136" customWidth="1"/>
    <col min="8" max="9" width="1.42578125" style="119" customWidth="1"/>
    <col min="10" max="10" width="6.140625" style="119" customWidth="1"/>
    <col min="11" max="11" width="31.5703125" style="119" customWidth="1"/>
    <col min="12" max="12" width="13.5703125" style="119" customWidth="1"/>
    <col min="13" max="14" width="8.85546875" style="119" customWidth="1"/>
    <col min="15" max="15" width="7.7109375" style="119" customWidth="1"/>
    <col min="16" max="16" width="9.140625" style="120"/>
    <col min="17" max="17" width="19.28515625" style="120" bestFit="1" customWidth="1"/>
    <col min="18" max="18" width="9.140625" style="120"/>
    <col min="19" max="19" width="14.85546875" style="120" customWidth="1"/>
    <col min="20" max="20" width="9.140625" style="118" bestFit="1" customWidth="1"/>
    <col min="21" max="21" width="9.140625" style="118"/>
    <col min="22" max="22" width="7" style="118" bestFit="1" customWidth="1"/>
    <col min="23" max="28" width="9.140625" style="118"/>
    <col min="29" max="16384" width="9.140625" style="119"/>
  </cols>
  <sheetData>
    <row r="1" spans="1:19" s="159" customFormat="1" ht="12.75">
      <c r="A1" s="152"/>
      <c r="B1" s="153"/>
      <c r="C1" s="198" t="s">
        <v>203</v>
      </c>
      <c r="D1" s="154"/>
      <c r="E1" s="155"/>
      <c r="F1" s="155"/>
      <c r="G1" s="156"/>
      <c r="H1" s="157"/>
      <c r="I1" s="158"/>
      <c r="K1" s="160" t="s">
        <v>204</v>
      </c>
      <c r="L1" s="161" t="s">
        <v>205</v>
      </c>
      <c r="M1" s="161" t="s">
        <v>206</v>
      </c>
      <c r="N1" s="161" t="s">
        <v>207</v>
      </c>
    </row>
    <row r="2" spans="1:19" s="159" customFormat="1" ht="12.75">
      <c r="A2" s="152"/>
      <c r="B2" s="153"/>
      <c r="C2" s="199"/>
      <c r="D2" s="162"/>
      <c r="E2" s="163"/>
      <c r="F2" s="164"/>
      <c r="G2" s="165"/>
      <c r="H2" s="157"/>
      <c r="I2" s="158"/>
      <c r="K2" s="160" t="s">
        <v>208</v>
      </c>
      <c r="L2" s="166">
        <v>44348</v>
      </c>
      <c r="M2" s="167"/>
      <c r="N2" s="168"/>
    </row>
    <row r="3" spans="1:19" s="159" customFormat="1" ht="12.75">
      <c r="A3" s="152"/>
      <c r="B3" s="153"/>
      <c r="C3" s="199"/>
      <c r="D3" s="162"/>
      <c r="E3" s="163"/>
      <c r="F3" s="164"/>
      <c r="G3" s="165"/>
      <c r="H3" s="157"/>
      <c r="I3" s="158"/>
      <c r="K3" s="160" t="s">
        <v>209</v>
      </c>
      <c r="L3" s="169" t="s">
        <v>210</v>
      </c>
      <c r="M3" s="170"/>
      <c r="N3" s="171"/>
    </row>
    <row r="4" spans="1:19" s="159" customFormat="1" ht="12.75">
      <c r="A4" s="152"/>
      <c r="B4" s="153"/>
      <c r="C4" s="200"/>
      <c r="D4" s="172"/>
      <c r="E4" s="173"/>
      <c r="F4" s="173"/>
      <c r="G4" s="174"/>
      <c r="H4" s="157"/>
      <c r="I4" s="158"/>
      <c r="K4" s="160" t="s">
        <v>211</v>
      </c>
      <c r="L4" s="175"/>
      <c r="M4" s="176"/>
      <c r="N4" s="177"/>
    </row>
    <row r="5" spans="1:19" s="159" customFormat="1" ht="5.25" customHeight="1">
      <c r="A5" s="178"/>
      <c r="B5" s="179"/>
      <c r="C5" s="179"/>
      <c r="D5" s="179"/>
      <c r="E5" s="179"/>
      <c r="F5" s="179"/>
      <c r="G5" s="179"/>
      <c r="H5" s="180"/>
      <c r="I5" s="181"/>
    </row>
    <row r="6" spans="1:19" ht="6" customHeight="1">
      <c r="A6" s="79"/>
      <c r="B6" s="79"/>
      <c r="C6" s="79"/>
      <c r="D6" s="79"/>
      <c r="E6" s="79"/>
      <c r="F6" s="79"/>
      <c r="G6" s="82"/>
      <c r="H6" s="79"/>
      <c r="I6" s="79"/>
    </row>
    <row r="7" spans="1:19" ht="6" customHeight="1">
      <c r="A7" s="79"/>
      <c r="B7" s="86"/>
      <c r="C7" s="87"/>
      <c r="D7" s="87"/>
      <c r="E7" s="117"/>
      <c r="F7" s="87"/>
      <c r="G7" s="110"/>
      <c r="H7" s="88"/>
      <c r="I7" s="79"/>
    </row>
    <row r="8" spans="1:19" ht="14.1" customHeight="1">
      <c r="A8" s="79"/>
      <c r="B8" s="89"/>
      <c r="C8" s="105" t="s">
        <v>201</v>
      </c>
      <c r="D8" s="85"/>
      <c r="E8" s="85"/>
      <c r="F8" s="85"/>
      <c r="G8" s="111" t="s">
        <v>175</v>
      </c>
      <c r="H8" s="90"/>
      <c r="I8" s="79"/>
      <c r="J8" s="118"/>
      <c r="K8" s="118"/>
      <c r="P8" s="147" t="s">
        <v>56</v>
      </c>
      <c r="Q8" s="147" t="s">
        <v>57</v>
      </c>
      <c r="R8" s="147" t="s">
        <v>52</v>
      </c>
      <c r="S8" s="147" t="s">
        <v>54</v>
      </c>
    </row>
    <row r="9" spans="1:19" ht="14.1" customHeight="1">
      <c r="A9" s="79"/>
      <c r="B9" s="89"/>
      <c r="C9" s="79"/>
      <c r="D9" s="79"/>
      <c r="E9" s="79"/>
      <c r="F9" s="79"/>
      <c r="G9" s="82"/>
      <c r="H9" s="90"/>
      <c r="I9" s="79"/>
      <c r="P9" s="120">
        <v>0</v>
      </c>
      <c r="Q9" s="138">
        <v>0</v>
      </c>
      <c r="R9" s="138">
        <f t="shared" ref="R9:R68" si="0">0.9*$G$25*($G$33/$G$34)*$G$15*(Q9)*SIN(RADIANS($G$35))/1000</f>
        <v>0</v>
      </c>
      <c r="S9" s="138">
        <v>0</v>
      </c>
    </row>
    <row r="10" spans="1:19" ht="14.1" customHeight="1">
      <c r="A10" s="79"/>
      <c r="B10" s="89"/>
      <c r="C10" s="106" t="s">
        <v>180</v>
      </c>
      <c r="D10" s="80"/>
      <c r="E10" s="80"/>
      <c r="F10" s="79"/>
      <c r="G10" s="109" t="s">
        <v>227</v>
      </c>
      <c r="H10" s="90"/>
      <c r="I10" s="79"/>
      <c r="P10" s="120">
        <v>1</v>
      </c>
      <c r="Q10" s="138">
        <f t="shared" ref="Q10:Q15" si="1">1/TAN(RADIANS(P10))</f>
        <v>57.289961630759429</v>
      </c>
      <c r="R10" s="138">
        <f t="shared" si="0"/>
        <v>71569.192040214693</v>
      </c>
      <c r="S10" s="138">
        <f>0.9*$G$25*$G$22*$G$40*$M$57*(Q10+1/TAN(RADIANS($G$35)))/(1+(Q10)^2)/1000</f>
        <v>160.90063959721047</v>
      </c>
    </row>
    <row r="11" spans="1:19" ht="14.1" customHeight="1">
      <c r="A11" s="79"/>
      <c r="B11" s="89"/>
      <c r="C11" s="188" t="s">
        <v>219</v>
      </c>
      <c r="D11" s="189" t="s">
        <v>220</v>
      </c>
      <c r="E11" s="190"/>
      <c r="F11" s="82" t="s">
        <v>120</v>
      </c>
      <c r="G11" s="191">
        <f>VLOOKUP(G10,'DATI CLS'!A3:C18,3,FALSE)</f>
        <v>40</v>
      </c>
      <c r="H11" s="90"/>
      <c r="I11" s="79"/>
      <c r="P11" s="120">
        <v>2</v>
      </c>
      <c r="Q11" s="138">
        <f t="shared" si="1"/>
        <v>28.636253282915604</v>
      </c>
      <c r="R11" s="138">
        <f t="shared" si="0"/>
        <v>35773.693194740015</v>
      </c>
      <c r="S11" s="138">
        <f>0.9*$G$25*$G$22*$G$40*$M$57*(Q11+1/TAN(RADIANS($G$35)))/(1+(Q11)^2)/1000</f>
        <v>321.60524654991531</v>
      </c>
    </row>
    <row r="12" spans="1:19" ht="14.1" customHeight="1">
      <c r="A12" s="79"/>
      <c r="B12" s="89"/>
      <c r="C12" s="188" t="s">
        <v>221</v>
      </c>
      <c r="D12" s="189" t="s">
        <v>222</v>
      </c>
      <c r="E12" s="190"/>
      <c r="F12" s="82" t="s">
        <v>120</v>
      </c>
      <c r="G12" s="191">
        <f>VLOOKUP(G10,'DATI CLS'!A3:C18,2,FALSE)</f>
        <v>32</v>
      </c>
      <c r="H12" s="90"/>
      <c r="I12" s="79"/>
      <c r="P12" s="120">
        <v>3</v>
      </c>
      <c r="Q12" s="138">
        <f t="shared" si="1"/>
        <v>19.081136687728208</v>
      </c>
      <c r="R12" s="138">
        <f t="shared" si="0"/>
        <v>23837.012577372596</v>
      </c>
      <c r="S12" s="138">
        <f>0.9*$G$25*$G$22*$G$40*$M$57*(Q12+1/TAN(RADIANS($G$35)))/(1+(Q12)^2)/1000</f>
        <v>481.91802704918962</v>
      </c>
    </row>
    <row r="13" spans="1:19" ht="14.1" customHeight="1">
      <c r="A13" s="79"/>
      <c r="B13" s="89"/>
      <c r="C13" s="188" t="s">
        <v>223</v>
      </c>
      <c r="D13" s="189" t="s">
        <v>224</v>
      </c>
      <c r="E13" s="190"/>
      <c r="F13" s="190" t="s">
        <v>111</v>
      </c>
      <c r="G13" s="191">
        <v>1.5</v>
      </c>
      <c r="H13" s="90"/>
      <c r="I13" s="79"/>
      <c r="P13" s="120">
        <v>4</v>
      </c>
      <c r="Q13" s="138">
        <f t="shared" si="1"/>
        <v>14.300666256711928</v>
      </c>
      <c r="R13" s="138">
        <f t="shared" si="0"/>
        <v>17865.03430088031</v>
      </c>
      <c r="S13" s="138">
        <f>0.9*$G$25*$G$22*$G$40*$M$57*(Q13+1/TAN(RADIANS($G$35)))/(1+(Q13)^2)/1000</f>
        <v>641.64366466628576</v>
      </c>
    </row>
    <row r="14" spans="1:19" ht="14.1" customHeight="1">
      <c r="A14" s="79"/>
      <c r="B14" s="89"/>
      <c r="C14" s="79" t="s">
        <v>202</v>
      </c>
      <c r="D14" s="80" t="s">
        <v>156</v>
      </c>
      <c r="E14" s="80"/>
      <c r="F14" s="82" t="s">
        <v>120</v>
      </c>
      <c r="G14" s="112">
        <f>G12*0.85/G13</f>
        <v>18.133333333333333</v>
      </c>
      <c r="H14" s="90"/>
      <c r="I14" s="79"/>
      <c r="P14" s="120">
        <v>5</v>
      </c>
      <c r="Q14" s="138">
        <f t="shared" si="1"/>
        <v>11.430052302761343</v>
      </c>
      <c r="R14" s="138">
        <f t="shared" si="0"/>
        <v>14278.93447648624</v>
      </c>
      <c r="S14" s="138">
        <f>0.9*$G$25*$G$22*$G$40*$M$57*(Q14)/(1+(Q14)^2)/1000</f>
        <v>800.58755831561575</v>
      </c>
    </row>
    <row r="15" spans="1:19" ht="14.1" customHeight="1">
      <c r="A15" s="79"/>
      <c r="B15" s="89"/>
      <c r="C15" s="79" t="s">
        <v>176</v>
      </c>
      <c r="D15" s="80" t="s">
        <v>157</v>
      </c>
      <c r="E15" s="80"/>
      <c r="F15" s="82" t="s">
        <v>120</v>
      </c>
      <c r="G15" s="192">
        <v>391</v>
      </c>
      <c r="H15" s="90"/>
      <c r="I15" s="79"/>
      <c r="P15" s="120">
        <v>6</v>
      </c>
      <c r="Q15" s="138">
        <f t="shared" si="1"/>
        <v>9.5143644542225836</v>
      </c>
      <c r="R15" s="138">
        <f t="shared" si="0"/>
        <v>11885.771213350734</v>
      </c>
      <c r="S15" s="138">
        <f>0.9*$G$25*$G$22*$G$40*$M$57*(Q15+1/TAN(RADIANS($G$35)))/(1+(Q15)^2)/1000</f>
        <v>958.5560593461978</v>
      </c>
    </row>
    <row r="16" spans="1:19" ht="14.1" customHeight="1">
      <c r="A16" s="79"/>
      <c r="B16" s="89"/>
      <c r="C16" s="79"/>
      <c r="D16" s="80"/>
      <c r="E16" s="80"/>
      <c r="F16" s="82"/>
      <c r="G16" s="82"/>
      <c r="H16" s="90"/>
      <c r="I16" s="79"/>
      <c r="P16" s="120">
        <v>7</v>
      </c>
      <c r="Q16" s="138">
        <f t="shared" ref="Q16:Q30" si="2">1/TAN(RADIANS(P16))</f>
        <v>8.1443464279745932</v>
      </c>
      <c r="R16" s="138">
        <f t="shared" si="0"/>
        <v>10174.283189479307</v>
      </c>
      <c r="S16" s="138">
        <f>0.9*$G$25*$G$22*$G$40*$M$57*(Q16+1/TAN(RADIANS($G$35)))/(1+(Q16)^2)/1000</f>
        <v>1115.356707472708</v>
      </c>
    </row>
    <row r="17" spans="1:19" ht="14.1" customHeight="1">
      <c r="A17" s="79"/>
      <c r="B17" s="89"/>
      <c r="C17" s="107" t="s">
        <v>181</v>
      </c>
      <c r="D17" s="80"/>
      <c r="E17" s="80"/>
      <c r="F17" s="82"/>
      <c r="G17" s="82"/>
      <c r="H17" s="90"/>
      <c r="I17" s="79"/>
      <c r="P17" s="120">
        <v>8</v>
      </c>
      <c r="Q17" s="138">
        <f t="shared" si="2"/>
        <v>7.1153697223842087</v>
      </c>
      <c r="R17" s="138">
        <f t="shared" si="0"/>
        <v>8888.8392940558169</v>
      </c>
      <c r="S17" s="138">
        <f>0.9*$G$25*$G$22*$G$40*$M$57*(Q17+1/TAN(RADIANS($G$35)))/(1+(Q17)^2)/1000</f>
        <v>1270.7984652586931</v>
      </c>
    </row>
    <row r="18" spans="1:19" ht="14.1" customHeight="1">
      <c r="A18" s="79"/>
      <c r="B18" s="89"/>
      <c r="C18" s="79" t="s">
        <v>144</v>
      </c>
      <c r="D18" s="80" t="s">
        <v>158</v>
      </c>
      <c r="E18" s="80"/>
      <c r="F18" s="82" t="s">
        <v>70</v>
      </c>
      <c r="G18" s="109">
        <v>96.3</v>
      </c>
      <c r="H18" s="90"/>
      <c r="I18" s="79"/>
      <c r="P18" s="120">
        <v>9</v>
      </c>
      <c r="Q18" s="138">
        <f t="shared" si="2"/>
        <v>6.3137515146750438</v>
      </c>
      <c r="R18" s="138">
        <f t="shared" si="0"/>
        <v>7887.421841200221</v>
      </c>
      <c r="S18" s="138">
        <f>0.9*$G$25*$G$22*$G$40*$M$57*(Q18+1/TAN(RADIANS($G$35)))/(1+(Q18)^2)/1000</f>
        <v>1424.6919508662575</v>
      </c>
    </row>
    <row r="19" spans="1:19" ht="14.1" customHeight="1">
      <c r="A19" s="79"/>
      <c r="B19" s="89"/>
      <c r="C19" s="79" t="s">
        <v>145</v>
      </c>
      <c r="D19" s="80" t="s">
        <v>159</v>
      </c>
      <c r="E19" s="80"/>
      <c r="F19" s="82" t="s">
        <v>70</v>
      </c>
      <c r="G19" s="109">
        <v>0</v>
      </c>
      <c r="H19" s="90"/>
      <c r="I19" s="79"/>
      <c r="P19" s="120">
        <v>10</v>
      </c>
      <c r="Q19" s="138">
        <f t="shared" si="2"/>
        <v>5.6712818196177093</v>
      </c>
      <c r="R19" s="138">
        <f t="shared" si="0"/>
        <v>7084.8198551502082</v>
      </c>
      <c r="S19" s="138">
        <f>0.9*$G$25*$G$22*$G$40*$M$57*(Q19)/(1+(Q19)^2)/1000</f>
        <v>1576.8496687886632</v>
      </c>
    </row>
    <row r="20" spans="1:19" ht="14.1" customHeight="1">
      <c r="A20" s="79"/>
      <c r="B20" s="89"/>
      <c r="C20" s="79"/>
      <c r="D20" s="91"/>
      <c r="E20" s="91"/>
      <c r="F20" s="82"/>
      <c r="G20" s="82"/>
      <c r="H20" s="90"/>
      <c r="I20" s="79"/>
      <c r="P20" s="120">
        <v>11</v>
      </c>
      <c r="Q20" s="138">
        <f t="shared" si="2"/>
        <v>5.1445540159703107</v>
      </c>
      <c r="R20" s="138">
        <f t="shared" si="0"/>
        <v>6426.8078359569345</v>
      </c>
      <c r="S20" s="138">
        <f t="shared" ref="S20:S51" si="3">0.9*$G$25*$G$22*$G$40*$M$57*(Q20+1/TAN(RADIANS($G$35)))/(1+(Q20)^2)/1000</f>
        <v>1727.0862382847206</v>
      </c>
    </row>
    <row r="21" spans="1:19" ht="14.1" customHeight="1">
      <c r="A21" s="79"/>
      <c r="B21" s="89"/>
      <c r="C21" s="107" t="s">
        <v>182</v>
      </c>
      <c r="D21" s="91"/>
      <c r="E21" s="91"/>
      <c r="F21" s="82"/>
      <c r="G21" s="82"/>
      <c r="H21" s="90"/>
      <c r="I21" s="79"/>
      <c r="P21" s="120">
        <v>12</v>
      </c>
      <c r="Q21" s="138">
        <f t="shared" si="2"/>
        <v>4.7046301094784546</v>
      </c>
      <c r="R21" s="138">
        <f t="shared" si="0"/>
        <v>5877.2351420577552</v>
      </c>
      <c r="S21" s="138">
        <f t="shared" si="3"/>
        <v>1875.2186192366689</v>
      </c>
    </row>
    <row r="22" spans="1:19" ht="14.1" customHeight="1">
      <c r="A22" s="79"/>
      <c r="B22" s="89"/>
      <c r="C22" s="79" t="s">
        <v>197</v>
      </c>
      <c r="D22" s="80" t="s">
        <v>160</v>
      </c>
      <c r="E22" s="80"/>
      <c r="F22" s="82" t="s">
        <v>121</v>
      </c>
      <c r="G22" s="116">
        <v>1000</v>
      </c>
      <c r="H22" s="90"/>
      <c r="I22" s="79"/>
      <c r="K22" s="203" t="s">
        <v>226</v>
      </c>
      <c r="L22" s="204"/>
      <c r="P22" s="120">
        <v>13</v>
      </c>
      <c r="Q22" s="138">
        <f t="shared" si="2"/>
        <v>4.3314758742841555</v>
      </c>
      <c r="R22" s="138">
        <f t="shared" si="0"/>
        <v>5411.0741190959006</v>
      </c>
      <c r="S22" s="138">
        <f t="shared" si="3"/>
        <v>2021.0663351563626</v>
      </c>
    </row>
    <row r="23" spans="1:19" ht="14.1" customHeight="1">
      <c r="A23" s="79"/>
      <c r="B23" s="89"/>
      <c r="C23" s="79" t="s">
        <v>198</v>
      </c>
      <c r="D23" s="80" t="s">
        <v>11</v>
      </c>
      <c r="E23" s="80"/>
      <c r="F23" s="82" t="s">
        <v>121</v>
      </c>
      <c r="G23" s="116">
        <v>1200</v>
      </c>
      <c r="H23" s="90"/>
      <c r="I23" s="79"/>
      <c r="K23" s="205"/>
      <c r="L23" s="206"/>
      <c r="P23" s="120">
        <v>14</v>
      </c>
      <c r="Q23" s="138">
        <f t="shared" si="2"/>
        <v>4.0107809335358446</v>
      </c>
      <c r="R23" s="138">
        <f t="shared" si="0"/>
        <v>5010.4476018594487</v>
      </c>
      <c r="S23" s="138">
        <f t="shared" si="3"/>
        <v>2164.4516930680707</v>
      </c>
    </row>
    <row r="24" spans="1:19" ht="14.1" customHeight="1">
      <c r="A24" s="79"/>
      <c r="B24" s="89"/>
      <c r="C24" s="79" t="s">
        <v>199</v>
      </c>
      <c r="D24" s="80" t="s">
        <v>189</v>
      </c>
      <c r="E24" s="80"/>
      <c r="F24" s="82" t="s">
        <v>121</v>
      </c>
      <c r="G24" s="116">
        <v>40</v>
      </c>
      <c r="H24" s="90"/>
      <c r="I24" s="79"/>
      <c r="P24" s="120">
        <v>15</v>
      </c>
      <c r="Q24" s="138">
        <f t="shared" si="2"/>
        <v>3.7320508075688776</v>
      </c>
      <c r="R24" s="138">
        <f t="shared" si="0"/>
        <v>4662.2454152129731</v>
      </c>
      <c r="S24" s="138">
        <f t="shared" si="3"/>
        <v>2305.1999999999998</v>
      </c>
    </row>
    <row r="25" spans="1:19" ht="14.1" customHeight="1">
      <c r="A25" s="79"/>
      <c r="B25" s="89"/>
      <c r="C25" s="79" t="s">
        <v>200</v>
      </c>
      <c r="D25" s="80" t="s">
        <v>13</v>
      </c>
      <c r="E25" s="80"/>
      <c r="F25" s="82" t="s">
        <v>121</v>
      </c>
      <c r="G25" s="113">
        <f>h-phi-phi_min/2-coprif</f>
        <v>1130</v>
      </c>
      <c r="H25" s="92"/>
      <c r="I25" s="83"/>
      <c r="J25" s="121"/>
      <c r="P25" s="120">
        <v>16</v>
      </c>
      <c r="Q25" s="138">
        <f t="shared" si="2"/>
        <v>3.4874144438409087</v>
      </c>
      <c r="R25" s="138">
        <f t="shared" si="0"/>
        <v>4356.6346869581585</v>
      </c>
      <c r="S25" s="138">
        <f t="shared" si="3"/>
        <v>2443.1397758207681</v>
      </c>
    </row>
    <row r="26" spans="1:19" ht="14.1" customHeight="1">
      <c r="A26" s="79"/>
      <c r="B26" s="89"/>
      <c r="C26" s="79" t="s">
        <v>190</v>
      </c>
      <c r="D26" s="93" t="s">
        <v>161</v>
      </c>
      <c r="E26" s="93"/>
      <c r="F26" s="82" t="s">
        <v>121</v>
      </c>
      <c r="G26" s="116">
        <v>20</v>
      </c>
      <c r="H26" s="90"/>
      <c r="I26" s="79"/>
      <c r="P26" s="120">
        <v>17</v>
      </c>
      <c r="Q26" s="138">
        <f t="shared" si="2"/>
        <v>3.2708526184841404</v>
      </c>
      <c r="R26" s="138">
        <f t="shared" si="0"/>
        <v>4086.0959324127825</v>
      </c>
      <c r="S26" s="138">
        <f t="shared" si="3"/>
        <v>2578.1029621615312</v>
      </c>
    </row>
    <row r="27" spans="1:19" ht="14.1" customHeight="1">
      <c r="A27" s="79"/>
      <c r="B27" s="94"/>
      <c r="C27" s="79"/>
      <c r="D27" s="95"/>
      <c r="E27" s="95"/>
      <c r="F27" s="93"/>
      <c r="G27" s="93"/>
      <c r="H27" s="96"/>
      <c r="I27" s="84"/>
      <c r="K27" s="149">
        <f>G34/G30</f>
        <v>0.66666666666666663</v>
      </c>
      <c r="P27" s="120">
        <v>18</v>
      </c>
      <c r="Q27" s="138">
        <f t="shared" si="2"/>
        <v>3.077683537175254</v>
      </c>
      <c r="R27" s="138">
        <f t="shared" si="0"/>
        <v>3844.780443924049</v>
      </c>
      <c r="S27" s="138">
        <f t="shared" si="3"/>
        <v>2709.9251271692178</v>
      </c>
    </row>
    <row r="28" spans="1:19" ht="14.1" customHeight="1">
      <c r="A28" s="79"/>
      <c r="B28" s="94"/>
      <c r="C28" s="107" t="s">
        <v>183</v>
      </c>
      <c r="D28" s="95"/>
      <c r="E28" s="95"/>
      <c r="F28" s="93"/>
      <c r="G28" s="93"/>
      <c r="H28" s="96"/>
      <c r="I28" s="84"/>
      <c r="K28" s="150">
        <f>_xlfn.COT(RADIANS(alfa))</f>
        <v>6.1257422745431001E-17</v>
      </c>
      <c r="P28" s="120">
        <v>19</v>
      </c>
      <c r="Q28" s="138">
        <f t="shared" si="2"/>
        <v>2.9042108776758226</v>
      </c>
      <c r="R28" s="138">
        <f t="shared" si="0"/>
        <v>3628.070609809311</v>
      </c>
      <c r="S28" s="138">
        <f t="shared" si="3"/>
        <v>2838.4456658414151</v>
      </c>
    </row>
    <row r="29" spans="1:19" ht="14.1" customHeight="1" outlineLevel="1">
      <c r="A29" s="79"/>
      <c r="B29" s="94"/>
      <c r="C29" s="79" t="s">
        <v>142</v>
      </c>
      <c r="D29" s="79"/>
      <c r="E29" s="79"/>
      <c r="F29" s="79"/>
      <c r="G29" s="116" t="s">
        <v>143</v>
      </c>
      <c r="H29" s="90"/>
      <c r="I29" s="79"/>
      <c r="K29" s="122" t="s">
        <v>137</v>
      </c>
      <c r="L29" s="123" t="s">
        <v>108</v>
      </c>
      <c r="M29" s="122"/>
      <c r="P29" s="120">
        <v>20</v>
      </c>
      <c r="Q29" s="138">
        <f t="shared" si="2"/>
        <v>2.7474774194546225</v>
      </c>
      <c r="R29" s="138">
        <f t="shared" si="0"/>
        <v>3432.2721374197363</v>
      </c>
      <c r="S29" s="138">
        <f t="shared" si="3"/>
        <v>2963.5079956988207</v>
      </c>
    </row>
    <row r="30" spans="1:19" ht="14.1" customHeight="1" outlineLevel="1">
      <c r="A30" s="79"/>
      <c r="B30" s="94"/>
      <c r="C30" s="84" t="s">
        <v>191</v>
      </c>
      <c r="D30" s="97"/>
      <c r="E30" s="97"/>
      <c r="F30" s="82"/>
      <c r="G30" s="113">
        <f>IF(G29="ND",L42,IF(G29="CD A",M42,N42))</f>
        <v>300</v>
      </c>
      <c r="H30" s="90"/>
      <c r="I30" s="79"/>
      <c r="K30" s="119" t="s">
        <v>140</v>
      </c>
      <c r="L30" s="124">
        <f>1000/3</f>
        <v>333.33333333333331</v>
      </c>
      <c r="M30" s="119" t="s">
        <v>12</v>
      </c>
      <c r="P30" s="120">
        <v>21</v>
      </c>
      <c r="Q30" s="138">
        <f t="shared" si="2"/>
        <v>2.6050890646938019</v>
      </c>
      <c r="R30" s="138">
        <f t="shared" si="0"/>
        <v>3254.3942122808239</v>
      </c>
      <c r="S30" s="138">
        <f t="shared" si="3"/>
        <v>3084.9597475568798</v>
      </c>
    </row>
    <row r="31" spans="1:19" ht="14.1" customHeight="1">
      <c r="A31" s="79"/>
      <c r="B31" s="94"/>
      <c r="C31" s="84" t="s">
        <v>192</v>
      </c>
      <c r="D31" s="93" t="s">
        <v>123</v>
      </c>
      <c r="E31" s="93"/>
      <c r="F31" s="82" t="s">
        <v>121</v>
      </c>
      <c r="G31" s="116">
        <v>20</v>
      </c>
      <c r="H31" s="90"/>
      <c r="I31" s="79"/>
      <c r="K31" s="119" t="s">
        <v>10</v>
      </c>
      <c r="L31" s="124">
        <f>G32*G33*1000/(1.5*G22)</f>
        <v>837.75804095727824</v>
      </c>
      <c r="M31" s="119" t="s">
        <v>12</v>
      </c>
      <c r="N31" s="125"/>
      <c r="P31" s="120">
        <v>22</v>
      </c>
      <c r="Q31" s="138">
        <f t="shared" ref="Q31:Q68" si="4">1/TAN(RADIANS(P31))</f>
        <v>2.475086853416296</v>
      </c>
      <c r="R31" s="138">
        <f t="shared" si="0"/>
        <v>3091.9896136438279</v>
      </c>
      <c r="S31" s="138">
        <f t="shared" si="3"/>
        <v>3202.6529511641606</v>
      </c>
    </row>
    <row r="32" spans="1:19" ht="14.1" customHeight="1">
      <c r="A32" s="79"/>
      <c r="B32" s="94"/>
      <c r="C32" s="84" t="s">
        <v>193</v>
      </c>
      <c r="D32" s="97" t="s">
        <v>162</v>
      </c>
      <c r="E32" s="97"/>
      <c r="F32" s="93" t="s">
        <v>16</v>
      </c>
      <c r="G32" s="116">
        <v>2</v>
      </c>
      <c r="H32" s="90"/>
      <c r="I32" s="79"/>
      <c r="K32" s="119" t="s">
        <v>141</v>
      </c>
      <c r="L32" s="124">
        <f>0.8*G25</f>
        <v>904</v>
      </c>
      <c r="M32" s="119" t="s">
        <v>12</v>
      </c>
      <c r="P32" s="120">
        <v>23</v>
      </c>
      <c r="Q32" s="138">
        <f t="shared" si="4"/>
        <v>2.3558523658237527</v>
      </c>
      <c r="R32" s="138">
        <f t="shared" si="0"/>
        <v>2943.0365388394348</v>
      </c>
      <c r="S32" s="138">
        <f t="shared" si="3"/>
        <v>3316.4442154813178</v>
      </c>
    </row>
    <row r="33" spans="1:22" ht="14.1" customHeight="1">
      <c r="A33" s="79"/>
      <c r="B33" s="89"/>
      <c r="C33" s="84" t="s">
        <v>194</v>
      </c>
      <c r="D33" s="97" t="s">
        <v>163</v>
      </c>
      <c r="E33" s="97"/>
      <c r="F33" s="82" t="s">
        <v>164</v>
      </c>
      <c r="G33" s="112">
        <f>PI()*phi*phi/4*nb</f>
        <v>628.31853071795865</v>
      </c>
      <c r="H33" s="90"/>
      <c r="I33" s="79"/>
      <c r="K33" s="119" t="s">
        <v>153</v>
      </c>
      <c r="L33" s="124">
        <f>15*G26</f>
        <v>300</v>
      </c>
      <c r="M33" s="119" t="s">
        <v>12</v>
      </c>
      <c r="N33" s="119" t="s">
        <v>154</v>
      </c>
      <c r="P33" s="120">
        <v>24</v>
      </c>
      <c r="Q33" s="138">
        <f t="shared" si="4"/>
        <v>2.246036773904216</v>
      </c>
      <c r="R33" s="138">
        <f t="shared" si="0"/>
        <v>2805.8499713609294</v>
      </c>
      <c r="S33" s="138">
        <f t="shared" si="3"/>
        <v>3426.1949033809783</v>
      </c>
    </row>
    <row r="34" spans="1:22" ht="14.1" customHeight="1">
      <c r="A34" s="79"/>
      <c r="B34" s="89"/>
      <c r="C34" s="84" t="s">
        <v>195</v>
      </c>
      <c r="D34" s="97" t="s">
        <v>50</v>
      </c>
      <c r="E34" s="97"/>
      <c r="F34" s="93" t="s">
        <v>121</v>
      </c>
      <c r="G34" s="116">
        <v>200</v>
      </c>
      <c r="H34" s="90"/>
      <c r="I34" s="81"/>
      <c r="L34" s="124"/>
      <c r="P34" s="120">
        <v>25</v>
      </c>
      <c r="Q34" s="138">
        <f t="shared" si="4"/>
        <v>2.1445069205095586</v>
      </c>
      <c r="R34" s="138">
        <f t="shared" si="0"/>
        <v>2679.0143204270025</v>
      </c>
      <c r="S34" s="138">
        <f t="shared" si="3"/>
        <v>3531.7713005557362</v>
      </c>
    </row>
    <row r="35" spans="1:22" ht="14.1" customHeight="1">
      <c r="A35" s="79"/>
      <c r="B35" s="89"/>
      <c r="C35" s="84" t="s">
        <v>196</v>
      </c>
      <c r="D35" s="97" t="s">
        <v>48</v>
      </c>
      <c r="E35" s="97"/>
      <c r="F35" s="93" t="s">
        <v>122</v>
      </c>
      <c r="G35" s="116">
        <v>90</v>
      </c>
      <c r="H35" s="90"/>
      <c r="I35" s="79"/>
      <c r="K35" s="122" t="s">
        <v>138</v>
      </c>
      <c r="L35" s="126" t="s">
        <v>112</v>
      </c>
      <c r="M35" s="126" t="s">
        <v>117</v>
      </c>
      <c r="P35" s="120">
        <v>26</v>
      </c>
      <c r="Q35" s="138">
        <f t="shared" si="4"/>
        <v>2.050303841579296</v>
      </c>
      <c r="R35" s="138">
        <f t="shared" si="0"/>
        <v>2561.3316050816388</v>
      </c>
      <c r="S35" s="138">
        <f t="shared" si="3"/>
        <v>3633.0447784284311</v>
      </c>
    </row>
    <row r="36" spans="1:22" ht="14.1" customHeight="1">
      <c r="A36" s="79"/>
      <c r="B36" s="89"/>
      <c r="C36" s="79"/>
      <c r="D36" s="79"/>
      <c r="E36" s="79"/>
      <c r="F36" s="79"/>
      <c r="G36" s="82"/>
      <c r="H36" s="90"/>
      <c r="I36" s="79"/>
      <c r="K36" s="119" t="s">
        <v>151</v>
      </c>
      <c r="L36" s="127">
        <f>MIN(G22)/3</f>
        <v>333.33333333333331</v>
      </c>
      <c r="M36" s="127">
        <f>MIN(G22)/2</f>
        <v>500</v>
      </c>
      <c r="P36" s="120">
        <v>27</v>
      </c>
      <c r="Q36" s="138">
        <f t="shared" si="4"/>
        <v>1.9626105055051506</v>
      </c>
      <c r="R36" s="138">
        <f t="shared" si="0"/>
        <v>2451.7811527600247</v>
      </c>
      <c r="S36" s="138">
        <f t="shared" si="3"/>
        <v>3729.8919508662575</v>
      </c>
    </row>
    <row r="37" spans="1:22" ht="14.1" customHeight="1">
      <c r="A37" s="79"/>
      <c r="B37" s="89"/>
      <c r="C37" s="107" t="s">
        <v>184</v>
      </c>
      <c r="D37" s="84"/>
      <c r="E37" s="84"/>
      <c r="F37" s="84"/>
      <c r="G37" s="93"/>
      <c r="H37" s="90"/>
      <c r="I37" s="79"/>
      <c r="K37" s="119" t="s">
        <v>150</v>
      </c>
      <c r="L37" s="128">
        <v>125</v>
      </c>
      <c r="M37" s="128">
        <v>175</v>
      </c>
      <c r="P37" s="120">
        <v>28</v>
      </c>
      <c r="Q37" s="138">
        <f t="shared" si="4"/>
        <v>1.880726465346332</v>
      </c>
      <c r="R37" s="138">
        <f t="shared" si="0"/>
        <v>2349.4879336979152</v>
      </c>
      <c r="S37" s="138">
        <f t="shared" si="3"/>
        <v>3822.1948245077642</v>
      </c>
    </row>
    <row r="38" spans="1:22" ht="14.1" customHeight="1">
      <c r="A38" s="79"/>
      <c r="B38" s="89"/>
      <c r="C38" s="84" t="s">
        <v>186</v>
      </c>
      <c r="D38" s="97" t="s">
        <v>65</v>
      </c>
      <c r="E38" s="93" t="s">
        <v>165</v>
      </c>
      <c r="F38" s="79"/>
      <c r="G38" s="93">
        <v>0.5</v>
      </c>
      <c r="H38" s="90"/>
      <c r="I38" s="79"/>
      <c r="K38" s="119" t="s">
        <v>171</v>
      </c>
      <c r="L38" s="128">
        <f>6*G26</f>
        <v>120</v>
      </c>
      <c r="M38" s="128">
        <f>8*G26</f>
        <v>160</v>
      </c>
      <c r="P38" s="120">
        <v>29</v>
      </c>
      <c r="Q38" s="138">
        <f t="shared" si="4"/>
        <v>1.8040477552714238</v>
      </c>
      <c r="R38" s="138">
        <f t="shared" si="0"/>
        <v>2253.6974466643092</v>
      </c>
      <c r="S38" s="138">
        <f t="shared" si="3"/>
        <v>3909.840942519586</v>
      </c>
    </row>
    <row r="39" spans="1:22" ht="14.1" customHeight="1">
      <c r="A39" s="79"/>
      <c r="B39" s="89"/>
      <c r="C39" s="84" t="s">
        <v>155</v>
      </c>
      <c r="D39" s="82" t="s">
        <v>166</v>
      </c>
      <c r="E39" s="79"/>
      <c r="F39" s="93" t="s">
        <v>149</v>
      </c>
      <c r="G39" s="114">
        <f>Nsd*1000/bw/h</f>
        <v>0</v>
      </c>
      <c r="H39" s="90"/>
      <c r="I39" s="79"/>
      <c r="K39" s="119" t="s">
        <v>172</v>
      </c>
      <c r="L39" s="128">
        <f>24*G31</f>
        <v>480</v>
      </c>
      <c r="M39" s="128">
        <f>24*G31</f>
        <v>480</v>
      </c>
      <c r="N39" s="119" t="s">
        <v>152</v>
      </c>
      <c r="P39" s="120">
        <v>30</v>
      </c>
      <c r="Q39" s="138">
        <f t="shared" si="4"/>
        <v>1.7320508075688774</v>
      </c>
      <c r="R39" s="138">
        <f t="shared" si="0"/>
        <v>2163.755627368932</v>
      </c>
      <c r="S39" s="138">
        <f t="shared" si="3"/>
        <v>3992.7235216077761</v>
      </c>
    </row>
    <row r="40" spans="1:22" ht="14.1" customHeight="1">
      <c r="A40" s="79"/>
      <c r="B40" s="94"/>
      <c r="C40" s="79" t="s">
        <v>187</v>
      </c>
      <c r="D40" s="82" t="s">
        <v>167</v>
      </c>
      <c r="E40" s="82" t="s">
        <v>111</v>
      </c>
      <c r="F40" s="79"/>
      <c r="G40" s="114">
        <f>IF(sigma&lt;=0,1,IF(sigma/fcd&lt;0.25,1+sigma/fcd,IF(sigma/fcd&lt;0.5,1.25,IF(sigma&lt;fcd,2.5*(1-sigma/fcd),-100))))</f>
        <v>1</v>
      </c>
      <c r="H40" s="96"/>
      <c r="I40" s="84"/>
      <c r="P40" s="120">
        <v>31</v>
      </c>
      <c r="Q40" s="138">
        <f t="shared" si="4"/>
        <v>1.664279482350518</v>
      </c>
      <c r="R40" s="138">
        <f t="shared" si="0"/>
        <v>2079.0926453855682</v>
      </c>
      <c r="S40" s="138">
        <f t="shared" si="3"/>
        <v>4070.7415821167965</v>
      </c>
    </row>
    <row r="41" spans="1:22" ht="14.1" customHeight="1">
      <c r="A41" s="79"/>
      <c r="B41" s="94"/>
      <c r="C41" s="84" t="s">
        <v>66</v>
      </c>
      <c r="D41" s="97" t="s">
        <v>168</v>
      </c>
      <c r="E41" s="93" t="s">
        <v>169</v>
      </c>
      <c r="F41" s="79"/>
      <c r="G41" s="114">
        <f>(Asw/(bw*s))*(f_yd/fcd)</f>
        <v>6.774059159302992E-2</v>
      </c>
      <c r="H41" s="96"/>
      <c r="I41" s="84"/>
      <c r="K41" s="125"/>
      <c r="L41" s="130" t="s">
        <v>143</v>
      </c>
      <c r="M41" s="130" t="s">
        <v>112</v>
      </c>
      <c r="N41" s="130" t="s">
        <v>117</v>
      </c>
      <c r="P41" s="120">
        <v>32</v>
      </c>
      <c r="Q41" s="138">
        <f t="shared" si="4"/>
        <v>1.6003345290410504</v>
      </c>
      <c r="R41" s="138">
        <f t="shared" si="0"/>
        <v>1999.2097389716337</v>
      </c>
      <c r="S41" s="138">
        <f t="shared" si="3"/>
        <v>4143.8000710576789</v>
      </c>
    </row>
    <row r="42" spans="1:22" ht="14.1" customHeight="1">
      <c r="A42" s="79"/>
      <c r="B42" s="89"/>
      <c r="C42" s="98" t="s">
        <v>188</v>
      </c>
      <c r="D42" s="97" t="s">
        <v>118</v>
      </c>
      <c r="E42" s="93"/>
      <c r="F42" s="79"/>
      <c r="G42" s="114">
        <f>DEGREES(ATAN(1/G43))</f>
        <v>21.597111976225833</v>
      </c>
      <c r="H42" s="90"/>
      <c r="I42" s="79"/>
      <c r="K42" s="131" t="s">
        <v>139</v>
      </c>
      <c r="L42" s="127">
        <f>MIN(L30:L33)</f>
        <v>300</v>
      </c>
      <c r="M42" s="132">
        <f>MIN(L36:L38)</f>
        <v>120</v>
      </c>
      <c r="N42" s="132">
        <f>MIN(M36:M38)</f>
        <v>160</v>
      </c>
      <c r="P42" s="120">
        <v>33</v>
      </c>
      <c r="Q42" s="138">
        <f t="shared" si="4"/>
        <v>1.5398649638145827</v>
      </c>
      <c r="R42" s="138">
        <f t="shared" si="0"/>
        <v>1923.6684433747841</v>
      </c>
      <c r="S42" s="138">
        <f t="shared" si="3"/>
        <v>4211.8099779154472</v>
      </c>
    </row>
    <row r="43" spans="1:22" ht="14.1" customHeight="1">
      <c r="A43" s="79"/>
      <c r="B43" s="89"/>
      <c r="C43" s="98"/>
      <c r="D43" s="97" t="s">
        <v>119</v>
      </c>
      <c r="E43" s="93" t="s">
        <v>170</v>
      </c>
      <c r="F43" s="79"/>
      <c r="G43" s="114">
        <f>IF(alfa=90,SQRT(ni*alfacc/w-1),L47)</f>
        <v>2.5260836902325532</v>
      </c>
      <c r="H43" s="90"/>
      <c r="I43" s="79"/>
      <c r="K43" s="131" t="s">
        <v>146</v>
      </c>
      <c r="L43" s="130" t="s">
        <v>147</v>
      </c>
      <c r="M43" s="130">
        <f>1.5*G25</f>
        <v>1695</v>
      </c>
      <c r="N43" s="130">
        <f>1*G25</f>
        <v>1130</v>
      </c>
      <c r="P43" s="120">
        <v>34</v>
      </c>
      <c r="Q43" s="138">
        <f t="shared" si="4"/>
        <v>1.4825609685127401</v>
      </c>
      <c r="R43" s="138">
        <f t="shared" si="0"/>
        <v>1852.0817198426259</v>
      </c>
      <c r="S43" s="138">
        <f t="shared" si="3"/>
        <v>4274.6884430947175</v>
      </c>
    </row>
    <row r="44" spans="1:22" ht="14.1" customHeight="1">
      <c r="A44" s="79"/>
      <c r="B44" s="89"/>
      <c r="C44" s="79"/>
      <c r="D44" s="79"/>
      <c r="E44" s="79"/>
      <c r="F44" s="79"/>
      <c r="G44" s="82"/>
      <c r="H44" s="90"/>
      <c r="I44" s="79"/>
      <c r="P44" s="120">
        <v>35</v>
      </c>
      <c r="Q44" s="138">
        <f t="shared" si="4"/>
        <v>1.4281480067421146</v>
      </c>
      <c r="R44" s="138">
        <f t="shared" si="0"/>
        <v>1784.106605187498</v>
      </c>
      <c r="S44" s="138">
        <f t="shared" si="3"/>
        <v>4332.3588588713519</v>
      </c>
      <c r="T44" s="129"/>
      <c r="U44" s="129"/>
      <c r="V44" s="129"/>
    </row>
    <row r="45" spans="1:22" ht="14.1" customHeight="1">
      <c r="A45" s="79"/>
      <c r="B45" s="89"/>
      <c r="C45" s="79"/>
      <c r="D45" s="79"/>
      <c r="E45" s="79"/>
      <c r="F45" s="79"/>
      <c r="G45" s="82"/>
      <c r="H45" s="90"/>
      <c r="I45" s="79"/>
      <c r="P45" s="120">
        <v>36</v>
      </c>
      <c r="Q45" s="138">
        <f t="shared" si="4"/>
        <v>1.3763819204711736</v>
      </c>
      <c r="R45" s="138">
        <f t="shared" si="0"/>
        <v>1719.4380862351979</v>
      </c>
      <c r="S45" s="138">
        <f t="shared" si="3"/>
        <v>4384.7509627271756</v>
      </c>
    </row>
    <row r="46" spans="1:22" ht="14.1" customHeight="1">
      <c r="A46" s="79"/>
      <c r="B46" s="89"/>
      <c r="C46" s="79"/>
      <c r="D46" s="79"/>
      <c r="E46" s="79"/>
      <c r="F46" s="79"/>
      <c r="G46" s="82"/>
      <c r="H46" s="90"/>
      <c r="I46" s="79"/>
      <c r="K46" s="201" t="str">
        <f>IF(alfa=90,"α=90 quindi cotϑ determinato da formulazione","α diverso da 90 quindi scegliere manualmente cotϑ")</f>
        <v>α=90 quindi cotϑ determinato da formulazione</v>
      </c>
      <c r="L46" s="202"/>
      <c r="P46" s="120">
        <v>37</v>
      </c>
      <c r="Q46" s="138">
        <f t="shared" si="4"/>
        <v>1.32704482162041</v>
      </c>
      <c r="R46" s="138">
        <f t="shared" si="0"/>
        <v>1657.8039674149557</v>
      </c>
      <c r="S46" s="138">
        <f t="shared" si="3"/>
        <v>4431.8009229540248</v>
      </c>
    </row>
    <row r="47" spans="1:22" ht="14.1" customHeight="1">
      <c r="A47" s="79"/>
      <c r="B47" s="89"/>
      <c r="C47" s="79"/>
      <c r="D47" s="79"/>
      <c r="E47" s="79"/>
      <c r="F47" s="79"/>
      <c r="G47" s="82"/>
      <c r="H47" s="90"/>
      <c r="I47" s="79"/>
      <c r="K47" s="194" t="s">
        <v>119</v>
      </c>
      <c r="L47" s="195">
        <v>2.5</v>
      </c>
      <c r="P47" s="120">
        <v>38</v>
      </c>
      <c r="Q47" s="138">
        <f t="shared" si="4"/>
        <v>1.2799416321930788</v>
      </c>
      <c r="R47" s="138">
        <f t="shared" si="0"/>
        <v>1598.9605485354202</v>
      </c>
      <c r="S47" s="138">
        <f t="shared" si="3"/>
        <v>4473.451416422854</v>
      </c>
    </row>
    <row r="48" spans="1:22" ht="14.1" customHeight="1">
      <c r="A48" s="79"/>
      <c r="B48" s="89"/>
      <c r="C48" s="79"/>
      <c r="D48" s="79"/>
      <c r="E48" s="79"/>
      <c r="F48" s="79"/>
      <c r="G48" s="82"/>
      <c r="H48" s="90"/>
      <c r="I48" s="79"/>
      <c r="P48" s="120">
        <v>39</v>
      </c>
      <c r="Q48" s="138">
        <f t="shared" si="4"/>
        <v>1.2348971565350515</v>
      </c>
      <c r="R48" s="138">
        <f t="shared" si="0"/>
        <v>1542.688967320235</v>
      </c>
      <c r="S48" s="138">
        <f t="shared" si="3"/>
        <v>4509.6516984231366</v>
      </c>
    </row>
    <row r="49" spans="1:22" ht="14.1" customHeight="1">
      <c r="A49" s="79"/>
      <c r="B49" s="89"/>
      <c r="C49" s="79"/>
      <c r="D49" s="79"/>
      <c r="E49" s="79"/>
      <c r="F49" s="79"/>
      <c r="G49" s="82"/>
      <c r="H49" s="90"/>
      <c r="I49" s="79"/>
      <c r="P49" s="120">
        <v>40</v>
      </c>
      <c r="Q49" s="138">
        <f t="shared" si="4"/>
        <v>1.19175359259421</v>
      </c>
      <c r="R49" s="138">
        <f t="shared" si="0"/>
        <v>1488.7920903615407</v>
      </c>
      <c r="S49" s="138">
        <f t="shared" si="3"/>
        <v>4540.3576644874838</v>
      </c>
    </row>
    <row r="50" spans="1:22" ht="14.1" customHeight="1">
      <c r="A50" s="79"/>
      <c r="B50" s="89"/>
      <c r="C50" s="79"/>
      <c r="D50" s="79"/>
      <c r="E50" s="79"/>
      <c r="F50" s="79"/>
      <c r="G50" s="82"/>
      <c r="H50" s="90"/>
      <c r="I50" s="79"/>
      <c r="P50" s="120">
        <v>41</v>
      </c>
      <c r="Q50" s="138">
        <f t="shared" si="4"/>
        <v>1.1503684072210096</v>
      </c>
      <c r="R50" s="138">
        <f t="shared" si="0"/>
        <v>1437.0918588500538</v>
      </c>
      <c r="S50" s="138">
        <f t="shared" si="3"/>
        <v>4565.5319041261355</v>
      </c>
      <c r="U50" s="196" t="s">
        <v>148</v>
      </c>
      <c r="V50" s="197"/>
    </row>
    <row r="51" spans="1:22" ht="14.1" customHeight="1">
      <c r="A51" s="79"/>
      <c r="B51" s="89"/>
      <c r="C51" s="79"/>
      <c r="D51" s="79"/>
      <c r="E51" s="79"/>
      <c r="F51" s="79"/>
      <c r="G51" s="82"/>
      <c r="H51" s="90"/>
      <c r="I51" s="79"/>
      <c r="M51" s="133"/>
      <c r="P51" s="120">
        <v>42</v>
      </c>
      <c r="Q51" s="138">
        <f t="shared" si="4"/>
        <v>1.110612514829193</v>
      </c>
      <c r="R51" s="138">
        <f t="shared" si="0"/>
        <v>1387.4270132762636</v>
      </c>
      <c r="S51" s="138">
        <f t="shared" si="3"/>
        <v>4585.1437464058872</v>
      </c>
      <c r="U51" s="140">
        <v>21.8</v>
      </c>
      <c r="V51" s="141">
        <f>0</f>
        <v>0</v>
      </c>
    </row>
    <row r="52" spans="1:22" ht="14.1" customHeight="1">
      <c r="A52" s="79"/>
      <c r="B52" s="89"/>
      <c r="C52" s="79"/>
      <c r="D52" s="79"/>
      <c r="E52" s="79"/>
      <c r="F52" s="79"/>
      <c r="G52" s="82"/>
      <c r="H52" s="90"/>
      <c r="I52" s="79"/>
      <c r="M52" s="133"/>
      <c r="P52" s="120">
        <v>43</v>
      </c>
      <c r="Q52" s="138">
        <f t="shared" si="4"/>
        <v>1.0723687100246824</v>
      </c>
      <c r="R52" s="138">
        <f t="shared" si="0"/>
        <v>1339.6511354000781</v>
      </c>
      <c r="S52" s="138">
        <f t="shared" ref="S52:S68" si="5">0.9*$G$25*$G$22*$G$40*$M$57*(Q52+1/TAN(RADIANS($G$35)))/(1+(Q52)^2)/1000</f>
        <v>4599.1692973178942</v>
      </c>
      <c r="U52" s="140">
        <v>21.8</v>
      </c>
      <c r="V52" s="142">
        <f>MAX(S9:S68)</f>
        <v>4610.3999999999996</v>
      </c>
    </row>
    <row r="53" spans="1:22" ht="14.1" customHeight="1">
      <c r="A53" s="79"/>
      <c r="B53" s="89"/>
      <c r="C53" s="79"/>
      <c r="D53" s="79"/>
      <c r="E53" s="79"/>
      <c r="F53" s="79"/>
      <c r="G53" s="82"/>
      <c r="H53" s="90"/>
      <c r="I53" s="79"/>
      <c r="M53" s="133"/>
      <c r="P53" s="120">
        <v>44</v>
      </c>
      <c r="Q53" s="138">
        <f t="shared" si="4"/>
        <v>1.0355303137905696</v>
      </c>
      <c r="R53" s="138">
        <f t="shared" si="0"/>
        <v>1293.6309570043366</v>
      </c>
      <c r="S53" s="138">
        <f t="shared" si="5"/>
        <v>4607.5914688888388</v>
      </c>
      <c r="U53" s="140">
        <v>45</v>
      </c>
      <c r="V53" s="142">
        <f>V51</f>
        <v>0</v>
      </c>
    </row>
    <row r="54" spans="1:22" ht="14.1" customHeight="1">
      <c r="A54" s="79"/>
      <c r="B54" s="89"/>
      <c r="C54" s="79"/>
      <c r="D54" s="79"/>
      <c r="E54" s="79"/>
      <c r="F54" s="79"/>
      <c r="G54" s="82"/>
      <c r="H54" s="90"/>
      <c r="I54" s="79"/>
      <c r="M54" s="133"/>
      <c r="P54" s="145">
        <v>45</v>
      </c>
      <c r="Q54" s="146">
        <f t="shared" si="4"/>
        <v>1</v>
      </c>
      <c r="R54" s="138">
        <f t="shared" si="0"/>
        <v>1249.2448939220205</v>
      </c>
      <c r="S54" s="138">
        <f t="shared" si="5"/>
        <v>4610.3999999999996</v>
      </c>
      <c r="U54" s="143">
        <v>45</v>
      </c>
      <c r="V54" s="144">
        <f>V52</f>
        <v>4610.3999999999996</v>
      </c>
    </row>
    <row r="55" spans="1:22" ht="14.1" customHeight="1">
      <c r="A55" s="79"/>
      <c r="B55" s="89"/>
      <c r="C55" s="107" t="s">
        <v>185</v>
      </c>
      <c r="D55" s="79"/>
      <c r="E55" s="101"/>
      <c r="F55" s="79"/>
      <c r="G55" s="80" t="str">
        <f>IF(G43&lt;1,"cotg ϑ*=1",IF(G43&gt;2.5,"cotg ϑ*=2.5","1≤cotg ϑ*≤2.5"))</f>
        <v>cotg ϑ*=2.5</v>
      </c>
      <c r="H55" s="90"/>
      <c r="I55" s="79"/>
      <c r="P55" s="120">
        <v>46</v>
      </c>
      <c r="Q55" s="138">
        <f t="shared" si="4"/>
        <v>0.96568877480707394</v>
      </c>
      <c r="R55" s="138">
        <f t="shared" si="0"/>
        <v>1206.3817710455492</v>
      </c>
      <c r="S55" s="138">
        <f t="shared" si="5"/>
        <v>4607.5914688888388</v>
      </c>
    </row>
    <row r="56" spans="1:22" ht="14.1" customHeight="1">
      <c r="A56" s="79"/>
      <c r="B56" s="89"/>
      <c r="C56" s="101" t="s">
        <v>178</v>
      </c>
      <c r="D56" s="80" t="s">
        <v>173</v>
      </c>
      <c r="E56" s="80"/>
      <c r="F56" s="82" t="s">
        <v>70</v>
      </c>
      <c r="G56" s="112">
        <f>IF(cottheta&lt;1,0.9*d*(Asw/s)*fyd*(_xlfn.COT(RADIANS(alfa))+1)*SIN(RADIANS(alfa))/1000,IF(cottheta&gt;2.5,0.9*d*(Asw/s)*fyd*(_xlfn.COT(RADIANS(alfa))+2.5)*SIN(RADIANS(alfa))/1000,0.9*d*Asw/s*fyd*(_xlfn.COT(RADIANS(alfa))+cottheta)*SIN(RADIANS(alfa))/1000))</f>
        <v>3123.1122348050512</v>
      </c>
      <c r="H56" s="90"/>
      <c r="I56" s="79"/>
      <c r="P56" s="120">
        <v>47</v>
      </c>
      <c r="Q56" s="138">
        <f t="shared" si="4"/>
        <v>0.93251508613766165</v>
      </c>
      <c r="R56" s="138">
        <f t="shared" si="0"/>
        <v>1164.9397098627269</v>
      </c>
      <c r="S56" s="138">
        <f t="shared" si="5"/>
        <v>4599.1692973178951</v>
      </c>
    </row>
    <row r="57" spans="1:22" ht="14.1" customHeight="1">
      <c r="A57" s="79"/>
      <c r="B57" s="89"/>
      <c r="C57" s="101" t="s">
        <v>177</v>
      </c>
      <c r="D57" s="80" t="s">
        <v>174</v>
      </c>
      <c r="E57" s="80"/>
      <c r="F57" s="82" t="s">
        <v>70</v>
      </c>
      <c r="G57" s="112">
        <f>IF(cottheta&lt;1,0.9*d*bw*alfacc*f1cd*(1+_xlfn.COT(RADIANS(alfa)))/(1+(1)^2)/1000,IF(cottheta&gt;2.5,0.9*d*bw*alfacc*f1cd*(2.5+_xlfn.COT(RADIANS(alfa)))/(1+(2.5)^2)/1000,0.9*d*bw*alfacc*f1cd*(cottheta+_xlfn.COT(RADIANS(alfa)))/(1+(cottheta)^2)/1000))</f>
        <v>3179.5862068965521</v>
      </c>
      <c r="H57" s="90"/>
      <c r="I57" s="79"/>
      <c r="K57" s="118" t="s">
        <v>58</v>
      </c>
      <c r="L57" s="118" t="s">
        <v>60</v>
      </c>
      <c r="M57" s="118">
        <f>0.5*G14</f>
        <v>9.0666666666666664</v>
      </c>
      <c r="N57" s="118" t="s">
        <v>61</v>
      </c>
      <c r="P57" s="120">
        <v>48</v>
      </c>
      <c r="Q57" s="138">
        <f t="shared" si="4"/>
        <v>0.90040404429783982</v>
      </c>
      <c r="R57" s="138">
        <f t="shared" si="0"/>
        <v>1124.8251548058133</v>
      </c>
      <c r="S57" s="138">
        <f t="shared" si="5"/>
        <v>4585.1437464058881</v>
      </c>
    </row>
    <row r="58" spans="1:22" ht="15" customHeight="1">
      <c r="A58" s="79"/>
      <c r="B58" s="89"/>
      <c r="C58" s="98"/>
      <c r="D58" s="80"/>
      <c r="E58" s="80"/>
      <c r="F58" s="82"/>
      <c r="G58" s="99"/>
      <c r="H58" s="100"/>
      <c r="I58" s="80"/>
      <c r="P58" s="120">
        <v>49</v>
      </c>
      <c r="Q58" s="138">
        <f t="shared" si="4"/>
        <v>0.86928673781622678</v>
      </c>
      <c r="R58" s="138">
        <f t="shared" si="0"/>
        <v>1085.9520185710514</v>
      </c>
      <c r="S58" s="138">
        <f t="shared" si="5"/>
        <v>4565.5319041261364</v>
      </c>
    </row>
    <row r="59" spans="1:22" ht="14.1" customHeight="1">
      <c r="A59" s="79"/>
      <c r="B59" s="89"/>
      <c r="C59" s="101" t="s">
        <v>179</v>
      </c>
      <c r="D59" s="79"/>
      <c r="E59" s="193" t="s">
        <v>225</v>
      </c>
      <c r="F59" s="79"/>
      <c r="G59" s="108">
        <f>G18/MIN(G57,G56)</f>
        <v>3.0834626731245592E-2</v>
      </c>
      <c r="H59" s="90"/>
      <c r="I59" s="79"/>
      <c r="P59" s="120">
        <v>50</v>
      </c>
      <c r="Q59" s="138">
        <f t="shared" si="4"/>
        <v>0.83909963117728004</v>
      </c>
      <c r="R59" s="138">
        <f t="shared" si="0"/>
        <v>1048.2409297400677</v>
      </c>
      <c r="S59" s="138">
        <f t="shared" si="5"/>
        <v>4540.3576644874847</v>
      </c>
    </row>
    <row r="60" spans="1:22" ht="14.1" customHeight="1">
      <c r="A60" s="79"/>
      <c r="B60" s="102"/>
      <c r="C60" s="103"/>
      <c r="D60" s="103"/>
      <c r="E60" s="103"/>
      <c r="F60" s="103"/>
      <c r="G60" s="115"/>
      <c r="H60" s="104"/>
      <c r="I60" s="80"/>
      <c r="K60" s="133"/>
      <c r="P60" s="120">
        <v>51</v>
      </c>
      <c r="Q60" s="138">
        <f t="shared" si="4"/>
        <v>0.80978403319500714</v>
      </c>
      <c r="R60" s="138">
        <f t="shared" si="0"/>
        <v>1011.6185686484426</v>
      </c>
      <c r="S60" s="138">
        <f t="shared" si="5"/>
        <v>4509.6516984231384</v>
      </c>
    </row>
    <row r="61" spans="1:22" ht="6.75" customHeight="1">
      <c r="A61" s="79"/>
      <c r="B61" s="79"/>
      <c r="C61" s="79"/>
      <c r="D61" s="79"/>
      <c r="E61" s="79"/>
      <c r="F61" s="79"/>
      <c r="G61" s="82"/>
      <c r="H61" s="80"/>
      <c r="I61" s="80"/>
      <c r="P61" s="120">
        <v>52</v>
      </c>
      <c r="Q61" s="138">
        <f t="shared" si="4"/>
        <v>0.7812856265067174</v>
      </c>
      <c r="R61" s="138">
        <f t="shared" si="0"/>
        <v>976.01707960818351</v>
      </c>
      <c r="S61" s="138">
        <f t="shared" si="5"/>
        <v>4473.4514164228549</v>
      </c>
    </row>
    <row r="62" spans="1:22" ht="14.1" customHeight="1">
      <c r="C62" s="134"/>
      <c r="D62" s="135"/>
      <c r="E62" s="135"/>
      <c r="F62" s="136"/>
      <c r="G62" s="127"/>
      <c r="H62" s="135"/>
      <c r="I62" s="135"/>
      <c r="K62" s="133"/>
      <c r="P62" s="120">
        <v>53</v>
      </c>
      <c r="Q62" s="138">
        <f t="shared" si="4"/>
        <v>0.7535540501027943</v>
      </c>
      <c r="R62" s="138">
        <f t="shared" si="0"/>
        <v>941.37354938517421</v>
      </c>
      <c r="S62" s="138">
        <f t="shared" si="5"/>
        <v>4431.8009229540257</v>
      </c>
    </row>
    <row r="63" spans="1:22" ht="14.1" customHeight="1">
      <c r="C63" s="121"/>
      <c r="D63" s="135"/>
      <c r="E63" s="135"/>
      <c r="F63" s="136"/>
      <c r="G63" s="137"/>
      <c r="H63" s="135"/>
      <c r="I63" s="135"/>
      <c r="J63" s="133"/>
      <c r="K63" s="133"/>
      <c r="P63" s="120">
        <v>54</v>
      </c>
      <c r="Q63" s="138">
        <f t="shared" si="4"/>
        <v>0.72654252800536101</v>
      </c>
      <c r="R63" s="138">
        <f t="shared" si="0"/>
        <v>907.62954332789388</v>
      </c>
      <c r="S63" s="138">
        <f t="shared" si="5"/>
        <v>4384.7509627271766</v>
      </c>
    </row>
    <row r="64" spans="1:22" ht="14.1" customHeight="1">
      <c r="G64" s="119"/>
      <c r="P64" s="120">
        <v>55</v>
      </c>
      <c r="Q64" s="138">
        <f t="shared" si="4"/>
        <v>0.70020753820970982</v>
      </c>
      <c r="R64" s="138">
        <f t="shared" si="0"/>
        <v>874.73069179418803</v>
      </c>
      <c r="S64" s="138">
        <f t="shared" si="5"/>
        <v>4332.3588588713528</v>
      </c>
    </row>
    <row r="65" spans="3:19" ht="14.1" customHeight="1">
      <c r="C65" s="134"/>
      <c r="D65" s="135"/>
      <c r="E65" s="135"/>
      <c r="F65" s="136"/>
      <c r="G65" s="127"/>
      <c r="H65" s="135"/>
      <c r="I65" s="135"/>
      <c r="P65" s="120">
        <v>56</v>
      </c>
      <c r="Q65" s="138">
        <f t="shared" si="4"/>
        <v>0.67450851684242663</v>
      </c>
      <c r="R65" s="138">
        <f t="shared" si="0"/>
        <v>842.62632057231667</v>
      </c>
      <c r="S65" s="138">
        <f t="shared" si="5"/>
        <v>4274.6884430947175</v>
      </c>
    </row>
    <row r="66" spans="3:19" ht="14.1" customHeight="1">
      <c r="C66" s="134"/>
      <c r="D66" s="135"/>
      <c r="E66" s="135"/>
      <c r="F66" s="136"/>
      <c r="G66" s="127"/>
      <c r="H66" s="135"/>
      <c r="I66" s="135"/>
      <c r="J66" s="133"/>
      <c r="K66" s="133"/>
      <c r="P66" s="120">
        <v>57</v>
      </c>
      <c r="Q66" s="138">
        <f t="shared" si="4"/>
        <v>0.64940759319751051</v>
      </c>
      <c r="R66" s="138">
        <f t="shared" si="0"/>
        <v>811.26911987617871</v>
      </c>
      <c r="S66" s="138">
        <f t="shared" si="5"/>
        <v>4211.8099779154472</v>
      </c>
    </row>
    <row r="67" spans="3:19" ht="14.1" customHeight="1">
      <c r="C67" s="121"/>
      <c r="D67" s="135"/>
      <c r="E67" s="135"/>
      <c r="F67" s="136"/>
      <c r="G67" s="137"/>
      <c r="H67" s="135"/>
      <c r="I67" s="135"/>
      <c r="J67" s="133"/>
      <c r="K67" s="133"/>
      <c r="P67" s="120">
        <v>58</v>
      </c>
      <c r="Q67" s="138">
        <f t="shared" si="4"/>
        <v>0.62486935190932735</v>
      </c>
      <c r="R67" s="138">
        <f t="shared" si="0"/>
        <v>780.61484724108936</v>
      </c>
      <c r="S67" s="138">
        <f t="shared" si="5"/>
        <v>4143.8000710576798</v>
      </c>
    </row>
    <row r="68" spans="3:19" ht="14.1" customHeight="1">
      <c r="P68" s="120">
        <v>59</v>
      </c>
      <c r="Q68" s="138">
        <f t="shared" si="4"/>
        <v>0.60086061902756027</v>
      </c>
      <c r="R68" s="138">
        <f t="shared" si="0"/>
        <v>750.62206027900402</v>
      </c>
      <c r="S68" s="138">
        <f t="shared" si="5"/>
        <v>4070.7415821167965</v>
      </c>
    </row>
    <row r="117" spans="6:9" ht="14.1" customHeight="1">
      <c r="F117" s="148"/>
      <c r="G117" s="139"/>
      <c r="H117" s="148">
        <f>0.9*$G$25*$G$22*$G$40*$M$57*(F117)/(1+(F117)^2)/1000</f>
        <v>0</v>
      </c>
      <c r="I117" s="148"/>
    </row>
  </sheetData>
  <sheetProtection algorithmName="SHA-512" hashValue="Lp3Jrep9sGV75p2PpGspILosG8ue6tsXg7Hy7hNiWxzzwPOZFR9rllRdZvrb+NaWMUrgQw61s1fhkOO+fPS9AA==" saltValue="/oRsVQigEe/o1u8yZL0AvA==" spinCount="100000" sheet="1" formatRows="0"/>
  <protectedRanges>
    <protectedRange sqref="G10 G18:G19 G22:G24 G26 G29 G31:G32 G34:G35 L47" name="Intervallo1"/>
  </protectedRanges>
  <dataConsolidate/>
  <mergeCells count="4">
    <mergeCell ref="U50:V50"/>
    <mergeCell ref="C1:C4"/>
    <mergeCell ref="K46:L46"/>
    <mergeCell ref="K22:L23"/>
  </mergeCells>
  <conditionalFormatting sqref="G59">
    <cfRule type="cellIs" dxfId="2" priority="1" operator="between">
      <formula>1</formula>
      <formula>10000000000</formula>
    </cfRule>
    <cfRule type="cellIs" dxfId="1" priority="2" operator="between">
      <formula>0</formula>
      <formula>0.8</formula>
    </cfRule>
    <cfRule type="cellIs" dxfId="0" priority="3" operator="between">
      <formula>0.8</formula>
      <formula>1</formula>
    </cfRule>
  </conditionalFormatting>
  <dataValidations count="1">
    <dataValidation type="list" allowBlank="1" showInputMessage="1" showErrorMessage="1" sqref="G29" xr:uid="{00000000-0002-0000-0400-000000000000}">
      <formula1>"ND,CD A, CD B"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" id="{B288F456-2A7F-4EBB-85ED-0185ED08B02A}">
            <x14:iconSet iconSet="3Symbols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3Symbols2" iconId="2"/>
              <x14:cfIcon iconSet="3Symbols2" iconId="2"/>
              <x14:cfIcon iconSet="3Symbols2" iconId="0"/>
            </x14:iconSet>
          </x14:cfRule>
          <xm:sqref>K27 I34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'DATI CLS'!$A$3:$A$18</xm:f>
          </x14:formula1>
          <xm:sqref>G10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Foglio8"/>
  <dimension ref="A1:AB115"/>
  <sheetViews>
    <sheetView topLeftCell="A54" zoomScale="85" zoomScaleNormal="85" workbookViewId="0">
      <selection activeCell="E20" sqref="E20"/>
    </sheetView>
  </sheetViews>
  <sheetFormatPr defaultRowHeight="15"/>
  <cols>
    <col min="2" max="2" width="29.5703125" bestFit="1" customWidth="1"/>
    <col min="3" max="3" width="11.7109375" bestFit="1" customWidth="1"/>
    <col min="4" max="4" width="26.5703125" bestFit="1" customWidth="1"/>
    <col min="5" max="5" width="9.140625" bestFit="1" customWidth="1"/>
    <col min="6" max="6" width="15.5703125" bestFit="1" customWidth="1"/>
    <col min="7" max="7" width="47.7109375" bestFit="1" customWidth="1"/>
    <col min="8" max="8" width="16.42578125" customWidth="1"/>
    <col min="10" max="10" width="14.85546875" bestFit="1" customWidth="1"/>
    <col min="11" max="12" width="15.42578125" customWidth="1"/>
    <col min="13" max="13" width="15.42578125" bestFit="1" customWidth="1"/>
    <col min="15" max="15" width="11.85546875" bestFit="1" customWidth="1"/>
  </cols>
  <sheetData>
    <row r="1" spans="1:28" ht="15" customHeight="1">
      <c r="A1" s="32"/>
      <c r="B1" s="214" t="s">
        <v>71</v>
      </c>
      <c r="C1" s="214"/>
      <c r="D1" s="214"/>
      <c r="E1" s="214"/>
      <c r="F1" s="214"/>
      <c r="G1" s="214"/>
      <c r="H1" s="39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</row>
    <row r="2" spans="1:28" ht="15" customHeight="1">
      <c r="A2" s="32"/>
      <c r="B2" s="214"/>
      <c r="C2" s="214"/>
      <c r="D2" s="214"/>
      <c r="E2" s="214"/>
      <c r="F2" s="214"/>
      <c r="G2" s="214"/>
      <c r="H2" s="39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28" ht="15.75" thickBot="1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</row>
    <row r="4" spans="1:28">
      <c r="A4" s="32"/>
      <c r="B4" s="13" t="s">
        <v>19</v>
      </c>
      <c r="C4" s="1" t="s">
        <v>0</v>
      </c>
      <c r="D4" s="1" t="s">
        <v>1</v>
      </c>
      <c r="E4" s="1" t="s">
        <v>2</v>
      </c>
      <c r="F4" s="1" t="s">
        <v>3</v>
      </c>
      <c r="G4" s="2" t="s">
        <v>4</v>
      </c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</row>
    <row r="5" spans="1:28">
      <c r="A5" s="32"/>
      <c r="B5" s="21" t="s">
        <v>47</v>
      </c>
      <c r="C5" t="s">
        <v>45</v>
      </c>
      <c r="E5">
        <v>25</v>
      </c>
      <c r="F5" t="s">
        <v>46</v>
      </c>
      <c r="G5" s="7"/>
      <c r="H5" s="32"/>
      <c r="I5" s="8"/>
      <c r="J5" s="227" t="s">
        <v>17</v>
      </c>
      <c r="K5" s="227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</row>
    <row r="6" spans="1:28" ht="17.25">
      <c r="A6" s="32"/>
      <c r="B6" s="6" t="s">
        <v>25</v>
      </c>
      <c r="C6" t="s">
        <v>5</v>
      </c>
      <c r="E6">
        <v>14.17</v>
      </c>
      <c r="F6" t="s">
        <v>6</v>
      </c>
      <c r="G6" s="7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</row>
    <row r="7" spans="1:28">
      <c r="A7" s="32"/>
      <c r="B7" s="6" t="s">
        <v>24</v>
      </c>
      <c r="C7" s="11" t="s">
        <v>23</v>
      </c>
      <c r="E7">
        <f>0.0007</f>
        <v>6.9999999999999999E-4</v>
      </c>
      <c r="F7" t="s">
        <v>16</v>
      </c>
      <c r="G7" s="228" t="s">
        <v>26</v>
      </c>
      <c r="H7" s="32"/>
      <c r="I7" s="227" t="s">
        <v>28</v>
      </c>
      <c r="J7" s="227"/>
      <c r="K7" s="227"/>
      <c r="L7" s="227"/>
      <c r="M7" s="227"/>
      <c r="N7" s="227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</row>
    <row r="8" spans="1:28" ht="15.75" thickBot="1">
      <c r="A8" s="32"/>
      <c r="B8" s="3" t="s">
        <v>21</v>
      </c>
      <c r="C8" s="12" t="s">
        <v>22</v>
      </c>
      <c r="D8" s="4"/>
      <c r="E8" s="4">
        <v>3.5000000000000001E-3</v>
      </c>
      <c r="F8" s="4" t="s">
        <v>16</v>
      </c>
      <c r="G8" s="229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</row>
    <row r="9" spans="1:28">
      <c r="A9" s="32"/>
      <c r="B9" s="32"/>
      <c r="C9" s="46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</row>
    <row r="10" spans="1:28" ht="15.75" thickBot="1">
      <c r="A10" s="32"/>
      <c r="B10" s="32"/>
      <c r="C10" s="46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</row>
    <row r="11" spans="1:28">
      <c r="A11" s="32"/>
      <c r="B11" s="14" t="s">
        <v>20</v>
      </c>
      <c r="C11" s="1" t="s">
        <v>0</v>
      </c>
      <c r="D11" s="41" t="s">
        <v>1</v>
      </c>
      <c r="E11" s="41" t="s">
        <v>2</v>
      </c>
      <c r="F11" s="41" t="s">
        <v>3</v>
      </c>
      <c r="G11" s="42" t="s">
        <v>4</v>
      </c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</row>
    <row r="12" spans="1:28" ht="17.25">
      <c r="A12" s="32"/>
      <c r="B12" s="33" t="s">
        <v>29</v>
      </c>
      <c r="C12" s="32" t="s">
        <v>30</v>
      </c>
      <c r="D12" s="32"/>
      <c r="E12" s="32">
        <v>450</v>
      </c>
      <c r="F12" s="32" t="s">
        <v>6</v>
      </c>
      <c r="G12" s="64" t="s">
        <v>37</v>
      </c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</row>
    <row r="13" spans="1:28" ht="17.25">
      <c r="A13" s="32"/>
      <c r="B13" s="33" t="s">
        <v>27</v>
      </c>
      <c r="C13" s="32" t="s">
        <v>7</v>
      </c>
      <c r="D13" s="32"/>
      <c r="E13" s="32">
        <v>391</v>
      </c>
      <c r="F13" s="32" t="s">
        <v>6</v>
      </c>
      <c r="G13" s="64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</row>
    <row r="14" spans="1:28" ht="17.25">
      <c r="A14" s="32"/>
      <c r="B14" s="33" t="s">
        <v>31</v>
      </c>
      <c r="C14" s="32" t="s">
        <v>32</v>
      </c>
      <c r="D14" s="32"/>
      <c r="E14" s="32">
        <v>210000</v>
      </c>
      <c r="F14" s="32" t="s">
        <v>6</v>
      </c>
      <c r="G14" s="64" t="s">
        <v>36</v>
      </c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</row>
    <row r="15" spans="1:28">
      <c r="A15" s="32"/>
      <c r="B15" s="33" t="s">
        <v>33</v>
      </c>
      <c r="C15" s="32" t="s">
        <v>34</v>
      </c>
      <c r="D15" s="32" t="s">
        <v>35</v>
      </c>
      <c r="E15" s="65">
        <f>E13/E14</f>
        <v>1.8619047619047619E-3</v>
      </c>
      <c r="F15" s="32" t="s">
        <v>16</v>
      </c>
      <c r="G15" s="66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</row>
    <row r="16" spans="1:28" ht="15.75" thickBot="1">
      <c r="A16" s="32"/>
      <c r="B16" s="35" t="s">
        <v>21</v>
      </c>
      <c r="C16" s="36" t="s">
        <v>18</v>
      </c>
      <c r="D16" s="37"/>
      <c r="E16" s="37">
        <v>6.7500000000000004E-2</v>
      </c>
      <c r="F16" s="37" t="s">
        <v>16</v>
      </c>
      <c r="G16" s="67" t="s">
        <v>38</v>
      </c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</row>
    <row r="17" spans="1:28" ht="15.75" thickBot="1">
      <c r="A17" s="32"/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  <c r="AA17" s="32"/>
      <c r="AB17" s="32"/>
    </row>
    <row r="18" spans="1:28">
      <c r="A18" s="32"/>
      <c r="B18" s="15" t="s">
        <v>14</v>
      </c>
      <c r="C18" s="1" t="s">
        <v>0</v>
      </c>
      <c r="D18" s="1" t="s">
        <v>1</v>
      </c>
      <c r="E18" s="1" t="s">
        <v>2</v>
      </c>
      <c r="F18" s="1" t="s">
        <v>3</v>
      </c>
      <c r="G18" s="2" t="s">
        <v>4</v>
      </c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  <c r="AA18" s="32"/>
      <c r="AB18" s="32"/>
    </row>
    <row r="19" spans="1:28" ht="15.75" thickBot="1">
      <c r="A19" s="32"/>
      <c r="B19" s="35" t="s">
        <v>39</v>
      </c>
      <c r="C19" s="37" t="s">
        <v>40</v>
      </c>
      <c r="D19" s="37"/>
      <c r="E19" s="54">
        <v>116.3</v>
      </c>
      <c r="F19" s="37" t="s">
        <v>41</v>
      </c>
      <c r="G19" s="38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</row>
    <row r="20" spans="1:28" ht="15.75" thickBot="1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</row>
    <row r="21" spans="1:28">
      <c r="A21" s="32"/>
      <c r="B21" s="10" t="s">
        <v>8</v>
      </c>
      <c r="C21" s="41" t="s">
        <v>0</v>
      </c>
      <c r="D21" s="41" t="s">
        <v>1</v>
      </c>
      <c r="E21" s="41" t="s">
        <v>2</v>
      </c>
      <c r="F21" s="41" t="s">
        <v>3</v>
      </c>
      <c r="G21" s="42" t="s">
        <v>4</v>
      </c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</row>
    <row r="22" spans="1:28">
      <c r="A22" s="32"/>
      <c r="B22" s="33" t="s">
        <v>42</v>
      </c>
      <c r="C22" s="32" t="s">
        <v>9</v>
      </c>
      <c r="D22" s="32"/>
      <c r="E22" s="32">
        <v>300</v>
      </c>
      <c r="F22" s="32" t="s">
        <v>12</v>
      </c>
      <c r="G22" s="74" t="s">
        <v>44</v>
      </c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</row>
    <row r="23" spans="1:28" ht="15.75" thickBot="1">
      <c r="A23" s="32"/>
      <c r="B23" s="35" t="s">
        <v>43</v>
      </c>
      <c r="C23" s="37" t="s">
        <v>13</v>
      </c>
      <c r="D23" s="37"/>
      <c r="E23" s="37">
        <v>349</v>
      </c>
      <c r="F23" s="37" t="s">
        <v>12</v>
      </c>
      <c r="G23" s="38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</row>
    <row r="24" spans="1:28">
      <c r="A24" s="32"/>
      <c r="B24" s="32" t="s">
        <v>115</v>
      </c>
      <c r="C24" s="32"/>
      <c r="D24" s="32"/>
      <c r="E24" s="32">
        <v>16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</row>
    <row r="25" spans="1:28">
      <c r="A25" s="32"/>
      <c r="B25" s="32" t="s">
        <v>114</v>
      </c>
      <c r="C25" s="32"/>
      <c r="D25" s="32"/>
      <c r="E25" s="32">
        <v>8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</row>
    <row r="26" spans="1:28" ht="15.75" thickBot="1">
      <c r="A26" s="32"/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</row>
    <row r="27" spans="1:28">
      <c r="A27" s="32"/>
      <c r="B27" s="10" t="s">
        <v>53</v>
      </c>
      <c r="C27" s="41" t="s">
        <v>0</v>
      </c>
      <c r="D27" s="41" t="s">
        <v>1</v>
      </c>
      <c r="E27" s="41" t="s">
        <v>2</v>
      </c>
      <c r="F27" s="41" t="s">
        <v>3</v>
      </c>
      <c r="G27" s="42" t="s">
        <v>4</v>
      </c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</row>
    <row r="28" spans="1:28">
      <c r="A28" s="32"/>
      <c r="B28" s="33" t="s">
        <v>59</v>
      </c>
      <c r="C28" s="32" t="s">
        <v>58</v>
      </c>
      <c r="D28" s="62" t="s">
        <v>60</v>
      </c>
      <c r="E28" s="32">
        <f>0.5*E6</f>
        <v>7.085</v>
      </c>
      <c r="F28" s="32" t="s">
        <v>61</v>
      </c>
      <c r="G28" s="34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</row>
    <row r="29" spans="1:28">
      <c r="A29" s="32"/>
      <c r="B29" s="33" t="s">
        <v>62</v>
      </c>
      <c r="C29" s="32" t="s">
        <v>63</v>
      </c>
      <c r="D29" s="62"/>
      <c r="E29" s="32">
        <v>1</v>
      </c>
      <c r="F29" s="32"/>
      <c r="G29" s="20" t="s">
        <v>64</v>
      </c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</row>
    <row r="30" spans="1:28" ht="18" customHeight="1" thickBot="1">
      <c r="A30" s="32"/>
      <c r="B30" s="35" t="s">
        <v>68</v>
      </c>
      <c r="C30" s="36" t="s">
        <v>65</v>
      </c>
      <c r="D30" s="63" t="s">
        <v>69</v>
      </c>
      <c r="E30" s="37">
        <v>0.5</v>
      </c>
      <c r="F30" s="37" t="s">
        <v>16</v>
      </c>
      <c r="G30" s="5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</row>
    <row r="31" spans="1:28" ht="15.75" thickBot="1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</row>
    <row r="32" spans="1:28">
      <c r="A32" s="32"/>
      <c r="B32" s="24" t="s">
        <v>72</v>
      </c>
      <c r="C32" s="41" t="s">
        <v>0</v>
      </c>
      <c r="D32" s="41" t="s">
        <v>1</v>
      </c>
      <c r="E32" s="41" t="s">
        <v>2</v>
      </c>
      <c r="F32" s="41" t="s">
        <v>3</v>
      </c>
      <c r="G32" s="42" t="s">
        <v>4</v>
      </c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</row>
    <row r="33" spans="1:28">
      <c r="A33" s="32"/>
      <c r="B33" s="68" t="s">
        <v>75</v>
      </c>
      <c r="C33" s="32"/>
      <c r="D33" s="32"/>
      <c r="E33" s="32">
        <v>45</v>
      </c>
      <c r="F33" s="32" t="s">
        <v>49</v>
      </c>
      <c r="G33" s="34"/>
      <c r="H33" s="32"/>
      <c r="I33" s="32"/>
      <c r="J33" s="32"/>
      <c r="K33" s="32"/>
      <c r="L33" s="32"/>
      <c r="M33" s="32"/>
      <c r="N33" s="32"/>
      <c r="O33" s="32" t="s">
        <v>55</v>
      </c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</row>
    <row r="34" spans="1:28">
      <c r="A34" s="32"/>
      <c r="B34" s="33" t="s">
        <v>76</v>
      </c>
      <c r="C34" s="32"/>
      <c r="D34" s="32"/>
      <c r="E34" s="32">
        <f>1/TAN(RADIANS(E33))</f>
        <v>1</v>
      </c>
      <c r="F34" s="32"/>
      <c r="G34" s="34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</row>
    <row r="35" spans="1:28" ht="15.75" thickBot="1">
      <c r="A35" s="58" t="s">
        <v>89</v>
      </c>
      <c r="B35" s="35" t="s">
        <v>73</v>
      </c>
      <c r="C35" s="69" t="s">
        <v>77</v>
      </c>
      <c r="D35" s="69"/>
      <c r="E35" s="70">
        <f>0.9*E23*E22*E29*E28*(E34/(1+E34^2))/1000</f>
        <v>333.809775</v>
      </c>
      <c r="F35" s="69" t="s">
        <v>41</v>
      </c>
      <c r="G35" s="71" t="str">
        <f>IF(E35&lt;E19,"MODIFICARE SEZIONE","SEZIONE CLS SUFFICIENTE")</f>
        <v>SEZIONE CLS SUFFICIENTE</v>
      </c>
      <c r="H35" s="43" t="s">
        <v>79</v>
      </c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</row>
    <row r="36" spans="1:28">
      <c r="A36" s="59"/>
      <c r="B36" s="24" t="s">
        <v>74</v>
      </c>
      <c r="C36" s="41" t="s">
        <v>0</v>
      </c>
      <c r="D36" s="41" t="s">
        <v>1</v>
      </c>
      <c r="E36" s="41" t="s">
        <v>2</v>
      </c>
      <c r="F36" s="41" t="s">
        <v>3</v>
      </c>
      <c r="G36" s="42" t="s">
        <v>4</v>
      </c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</row>
    <row r="37" spans="1:28">
      <c r="A37" s="59"/>
      <c r="B37" s="68" t="s">
        <v>75</v>
      </c>
      <c r="C37" s="32"/>
      <c r="D37" s="32"/>
      <c r="E37" s="72">
        <v>21.81</v>
      </c>
      <c r="F37" s="32" t="s">
        <v>49</v>
      </c>
      <c r="G37" s="34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</row>
    <row r="38" spans="1:28">
      <c r="A38" s="59"/>
      <c r="B38" s="33" t="s">
        <v>76</v>
      </c>
      <c r="C38" s="32"/>
      <c r="D38" s="32"/>
      <c r="E38" s="72">
        <v>2.5</v>
      </c>
      <c r="F38" s="32"/>
      <c r="G38" s="34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1:28" ht="15.75" thickBot="1">
      <c r="A39" s="59"/>
      <c r="B39" s="35" t="s">
        <v>73</v>
      </c>
      <c r="C39" s="69" t="s">
        <v>78</v>
      </c>
      <c r="D39" s="69"/>
      <c r="E39" s="70">
        <f>0.9*E23*E22*E29*E28*(E38/(1+E38^2))/1000</f>
        <v>230.21363793103453</v>
      </c>
      <c r="F39" s="69" t="s">
        <v>41</v>
      </c>
      <c r="G39" s="67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1:28">
      <c r="A40" s="207" t="s">
        <v>90</v>
      </c>
      <c r="B40" s="215" t="str">
        <f>IF(AND(E19&gt;=E39,E19&lt;=E35),"Vsd compreso tra VRcd(45) e VRcd(21.8): USARE QUESTA SEZIONE PER DIMENSIONARE","taglio sollecitante minore di VRcd(21.8): NON USARE LA PROSSIMA SEZIONE, ANDARE DIRETTAMENTE A RIGA 46")</f>
        <v>taglio sollecitante minore di VRcd(21.8): NON USARE LA PROSSIMA SEZIONE, ANDARE DIRETTAMENTE A RIGA 46</v>
      </c>
      <c r="C40" s="216"/>
      <c r="D40" s="216"/>
      <c r="E40" s="216"/>
      <c r="F40" s="216"/>
      <c r="G40" s="217"/>
      <c r="H40" s="43" t="s">
        <v>79</v>
      </c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</row>
    <row r="41" spans="1:28" ht="15.75" thickBot="1">
      <c r="A41" s="207"/>
      <c r="B41" s="218"/>
      <c r="C41" s="219"/>
      <c r="D41" s="219"/>
      <c r="E41" s="219"/>
      <c r="F41" s="219"/>
      <c r="G41" s="220"/>
      <c r="H41" s="32"/>
      <c r="I41" s="32"/>
      <c r="J41" s="32"/>
      <c r="K41" s="32"/>
      <c r="L41" s="32" t="s">
        <v>97</v>
      </c>
      <c r="M41" s="32" t="s">
        <v>98</v>
      </c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</row>
    <row r="42" spans="1:28">
      <c r="A42" s="59"/>
      <c r="B42" s="73"/>
      <c r="C42" s="41" t="s">
        <v>0</v>
      </c>
      <c r="D42" s="41" t="s">
        <v>1</v>
      </c>
      <c r="E42" s="1" t="s">
        <v>2</v>
      </c>
      <c r="F42" s="41" t="s">
        <v>3</v>
      </c>
      <c r="G42" s="42" t="s">
        <v>4</v>
      </c>
      <c r="H42" s="208" t="s">
        <v>99</v>
      </c>
      <c r="I42" s="209"/>
      <c r="J42" s="209"/>
      <c r="K42" s="32" t="s">
        <v>96</v>
      </c>
      <c r="L42" s="32" t="s">
        <v>101</v>
      </c>
      <c r="M42" s="32" t="s">
        <v>102</v>
      </c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</row>
    <row r="43" spans="1:28" ht="15" customHeight="1">
      <c r="A43" s="59"/>
      <c r="B43" s="33" t="s">
        <v>80</v>
      </c>
      <c r="C43" s="32"/>
      <c r="D43" s="32"/>
      <c r="E43" s="22">
        <f>L43</f>
        <v>5.5606600755568518</v>
      </c>
      <c r="F43" s="32"/>
      <c r="G43" s="32" t="s">
        <v>100</v>
      </c>
      <c r="H43" s="208"/>
      <c r="I43" s="209"/>
      <c r="J43" s="209"/>
      <c r="K43" s="32">
        <f>SQRT((0.9*E23*E22*E29*E28/(E19*1000))^2-4*1*1)</f>
        <v>5.3808253101850703</v>
      </c>
      <c r="L43" s="32">
        <f>((0.9*E23*E22*E29*E28/(E19*1000))+K43)/2</f>
        <v>5.5606600755568518</v>
      </c>
      <c r="M43" s="32">
        <f>((0.9*E23*E22*E29*E28/(E19*1000))-K43)/2</f>
        <v>0.17983476537178156</v>
      </c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</row>
    <row r="44" spans="1:28">
      <c r="A44" s="59"/>
      <c r="B44" s="33" t="s">
        <v>81</v>
      </c>
      <c r="C44" s="32"/>
      <c r="D44" s="32"/>
      <c r="E44" s="72">
        <f>DEGREES(1/ATAN(E43))</f>
        <v>41.13524540644493</v>
      </c>
      <c r="F44" s="32" t="s">
        <v>49</v>
      </c>
      <c r="G44" s="34"/>
      <c r="H44" s="44"/>
      <c r="I44" s="45"/>
      <c r="J44" s="45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</row>
    <row r="45" spans="1:28">
      <c r="A45" s="59"/>
      <c r="B45" s="33" t="s">
        <v>66</v>
      </c>
      <c r="C45" s="46" t="s">
        <v>67</v>
      </c>
      <c r="D45" s="32" t="s">
        <v>83</v>
      </c>
      <c r="E45" s="72">
        <f>(E30*E29)/(E43^2+1)</f>
        <v>1.5663698893133224E-2</v>
      </c>
      <c r="F45" s="32" t="s">
        <v>16</v>
      </c>
      <c r="G45" s="34" t="s">
        <v>82</v>
      </c>
      <c r="H45" s="33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</row>
    <row r="46" spans="1:28" ht="15.75" thickBot="1">
      <c r="A46" s="59"/>
      <c r="B46" s="28" t="s">
        <v>84</v>
      </c>
      <c r="C46" s="29" t="s">
        <v>85</v>
      </c>
      <c r="D46" s="30" t="s">
        <v>86</v>
      </c>
      <c r="E46" s="50">
        <f>E45*E22*E6/E13</f>
        <v>0.17029765727547144</v>
      </c>
      <c r="F46" s="37" t="s">
        <v>12</v>
      </c>
      <c r="G46" s="38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</row>
    <row r="47" spans="1:28">
      <c r="A47" s="207" t="s">
        <v>91</v>
      </c>
      <c r="B47" s="221" t="str">
        <f>IF(E19&lt;E39,"Vsd&lt;VRcd(21.8) USARE QUESTA SEZIONE PER DIMENSIONARE","taglio sollecitante MAGGIORE di VRcd(21.8): UTILIZZARE PARTE ALLA RIGA 46")</f>
        <v>Vsd&lt;VRcd(21.8) USARE QUESTA SEZIONE PER DIMENSIONARE</v>
      </c>
      <c r="C47" s="222"/>
      <c r="D47" s="222"/>
      <c r="E47" s="222"/>
      <c r="F47" s="222"/>
      <c r="G47" s="223"/>
      <c r="H47" s="43" t="s">
        <v>79</v>
      </c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</row>
    <row r="48" spans="1:28" ht="15.75" thickBot="1">
      <c r="A48" s="207"/>
      <c r="B48" s="224"/>
      <c r="C48" s="225"/>
      <c r="D48" s="225"/>
      <c r="E48" s="225"/>
      <c r="F48" s="225"/>
      <c r="G48" s="226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</row>
    <row r="49" spans="1:28">
      <c r="A49" s="32"/>
      <c r="B49" s="73"/>
      <c r="C49" s="41" t="s">
        <v>0</v>
      </c>
      <c r="D49" s="41" t="s">
        <v>1</v>
      </c>
      <c r="E49" s="41" t="s">
        <v>2</v>
      </c>
      <c r="F49" s="41" t="s">
        <v>3</v>
      </c>
      <c r="G49" s="42" t="s">
        <v>4</v>
      </c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</row>
    <row r="50" spans="1:28">
      <c r="A50" s="32"/>
      <c r="B50" s="68" t="s">
        <v>75</v>
      </c>
      <c r="C50" s="32"/>
      <c r="D50" s="32"/>
      <c r="E50" s="72"/>
      <c r="F50" s="32" t="s">
        <v>49</v>
      </c>
      <c r="G50" s="34"/>
      <c r="H50" s="32"/>
      <c r="I50" s="32"/>
      <c r="J50" s="32"/>
      <c r="K50" s="32"/>
      <c r="L50" s="32"/>
      <c r="M50" s="32"/>
      <c r="N50" s="32" t="s">
        <v>51</v>
      </c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</row>
    <row r="51" spans="1:28">
      <c r="A51" s="32"/>
      <c r="B51" s="33" t="s">
        <v>76</v>
      </c>
      <c r="C51" s="32"/>
      <c r="D51" s="32"/>
      <c r="E51" s="72">
        <v>2</v>
      </c>
      <c r="F51" s="32"/>
      <c r="G51" s="34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</row>
    <row r="52" spans="1:28" ht="15.75" thickBot="1">
      <c r="A52" s="32"/>
      <c r="B52" s="28" t="s">
        <v>84</v>
      </c>
      <c r="C52" s="30" t="s">
        <v>85</v>
      </c>
      <c r="D52" s="30" t="s">
        <v>88</v>
      </c>
      <c r="E52" s="50">
        <f>E19*1000/(0.9*E23*E13*E51)</f>
        <v>0.47348369188628897</v>
      </c>
      <c r="F52" s="37" t="s">
        <v>12</v>
      </c>
      <c r="G52" s="38" t="s">
        <v>87</v>
      </c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</row>
    <row r="53" spans="1:28" ht="15.75" thickBot="1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</row>
    <row r="54" spans="1:28" ht="33.75" customHeight="1">
      <c r="A54" s="32"/>
      <c r="B54" s="32"/>
      <c r="C54" s="61" t="s">
        <v>92</v>
      </c>
      <c r="D54" s="61"/>
      <c r="E54" s="61"/>
      <c r="F54" s="61"/>
      <c r="G54" s="61"/>
      <c r="H54" s="32"/>
      <c r="I54" s="32"/>
      <c r="J54" s="32"/>
      <c r="K54" s="32"/>
      <c r="L54" s="32"/>
      <c r="M54" s="231" t="s">
        <v>95</v>
      </c>
      <c r="N54" s="232"/>
      <c r="O54" s="232"/>
      <c r="P54" s="232"/>
      <c r="Q54" s="232"/>
      <c r="R54" s="232"/>
      <c r="S54" s="232"/>
      <c r="T54" s="232"/>
      <c r="U54" s="232"/>
      <c r="V54" s="232"/>
      <c r="W54" s="232"/>
      <c r="X54" s="233"/>
      <c r="Y54" s="32"/>
      <c r="Z54" s="32"/>
      <c r="AA54" s="32"/>
      <c r="AB54" s="32"/>
    </row>
    <row r="55" spans="1:28" ht="15.75" customHeight="1" thickBot="1">
      <c r="A55" s="32"/>
      <c r="B55" s="32"/>
      <c r="C55" s="40"/>
      <c r="D55" s="40"/>
      <c r="E55" s="40"/>
      <c r="F55" s="40"/>
      <c r="G55" s="40"/>
      <c r="H55" s="32"/>
      <c r="I55" s="32"/>
      <c r="J55" s="32"/>
      <c r="K55" s="32"/>
      <c r="L55" s="32"/>
      <c r="M55" s="234"/>
      <c r="N55" s="235"/>
      <c r="O55" s="235"/>
      <c r="P55" s="235"/>
      <c r="Q55" s="235"/>
      <c r="R55" s="235"/>
      <c r="S55" s="235"/>
      <c r="T55" s="235"/>
      <c r="U55" s="235"/>
      <c r="V55" s="235"/>
      <c r="W55" s="235"/>
      <c r="X55" s="236"/>
      <c r="Y55" s="32"/>
      <c r="Z55" s="32"/>
      <c r="AA55" s="32"/>
      <c r="AB55" s="32"/>
    </row>
    <row r="56" spans="1:28" ht="20.25" customHeight="1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25">
        <v>5</v>
      </c>
      <c r="N56" s="25">
        <v>8</v>
      </c>
      <c r="O56" s="25">
        <v>10</v>
      </c>
      <c r="P56" s="25">
        <v>12</v>
      </c>
      <c r="Q56" s="25">
        <v>14</v>
      </c>
      <c r="R56" s="25">
        <v>16</v>
      </c>
      <c r="S56" s="25">
        <v>18</v>
      </c>
      <c r="T56" s="25">
        <v>20</v>
      </c>
      <c r="U56" s="25">
        <v>22</v>
      </c>
      <c r="V56" s="25">
        <v>24</v>
      </c>
      <c r="W56" s="25">
        <v>26</v>
      </c>
      <c r="X56" s="25">
        <v>30</v>
      </c>
      <c r="Y56" s="32"/>
      <c r="Z56" s="32"/>
      <c r="AA56" s="32"/>
      <c r="AB56" s="32"/>
    </row>
    <row r="57" spans="1:28" ht="15" customHeight="1">
      <c r="A57" s="32"/>
      <c r="B57" s="210" t="s">
        <v>103</v>
      </c>
      <c r="C57" s="210"/>
      <c r="D57" s="210"/>
      <c r="E57" s="210"/>
      <c r="F57" s="210"/>
      <c r="G57" s="210"/>
      <c r="H57" s="32"/>
      <c r="I57" s="32"/>
      <c r="J57" s="32"/>
      <c r="K57" s="32"/>
      <c r="L57" s="32"/>
      <c r="M57" s="51" t="e">
        <f>#REF!</f>
        <v>#REF!</v>
      </c>
      <c r="N57" s="51" t="e">
        <f>#REF!</f>
        <v>#REF!</v>
      </c>
      <c r="O57" s="51" t="e">
        <f>#REF!</f>
        <v>#REF!</v>
      </c>
      <c r="P57" s="51" t="e">
        <f>#REF!</f>
        <v>#REF!</v>
      </c>
      <c r="Q57" s="51" t="e">
        <f>#REF!</f>
        <v>#REF!</v>
      </c>
      <c r="R57" s="51" t="e">
        <f>#REF!</f>
        <v>#REF!</v>
      </c>
      <c r="S57" s="51" t="e">
        <f>#REF!</f>
        <v>#REF!</v>
      </c>
      <c r="T57" s="51" t="e">
        <f>#REF!</f>
        <v>#REF!</v>
      </c>
      <c r="U57" s="51" t="e">
        <f>#REF!</f>
        <v>#REF!</v>
      </c>
      <c r="V57" s="51" t="e">
        <f>#REF!</f>
        <v>#REF!</v>
      </c>
      <c r="W57" s="51" t="e">
        <f>#REF!</f>
        <v>#REF!</v>
      </c>
      <c r="X57" s="51" t="e">
        <f>#REF!</f>
        <v>#REF!</v>
      </c>
      <c r="Y57" s="32"/>
      <c r="Z57" s="32"/>
      <c r="AA57" s="32"/>
      <c r="AB57" s="32"/>
    </row>
    <row r="58" spans="1:28" ht="15.75" customHeight="1" thickBot="1">
      <c r="A58" s="32"/>
      <c r="B58" s="210" t="s">
        <v>104</v>
      </c>
      <c r="C58" s="210"/>
      <c r="D58" s="210"/>
      <c r="E58" s="210"/>
      <c r="F58" s="210"/>
      <c r="G58" s="210"/>
      <c r="H58" s="32"/>
      <c r="I58" s="32"/>
      <c r="J58" s="32"/>
      <c r="L58" s="26">
        <v>10</v>
      </c>
      <c r="M58" s="52" t="e">
        <f t="shared" ref="M58:M90" si="0">$M$57/L58</f>
        <v>#REF!</v>
      </c>
      <c r="N58" s="52" t="e">
        <f t="shared" ref="N58:N90" si="1">$N$57/L58</f>
        <v>#REF!</v>
      </c>
      <c r="O58" s="52" t="e">
        <f t="shared" ref="O58:O90" si="2">$O$57/L58</f>
        <v>#REF!</v>
      </c>
      <c r="P58" s="52" t="e">
        <f t="shared" ref="P58:P90" si="3">$P$57/L58</f>
        <v>#REF!</v>
      </c>
      <c r="Q58" s="52" t="e">
        <f t="shared" ref="Q58:Q90" si="4">$Q$57/L58</f>
        <v>#REF!</v>
      </c>
      <c r="R58" s="52" t="e">
        <f t="shared" ref="R58:R90" si="5">$R$57/L58</f>
        <v>#REF!</v>
      </c>
      <c r="S58" s="52" t="e">
        <f t="shared" ref="S58:S90" si="6">$S$57/L58</f>
        <v>#REF!</v>
      </c>
      <c r="T58" s="52" t="e">
        <f t="shared" ref="T58:T90" si="7">$T$57/L58</f>
        <v>#REF!</v>
      </c>
      <c r="U58" s="52" t="e">
        <f t="shared" ref="U58:U90" si="8">$U$57/L58</f>
        <v>#REF!</v>
      </c>
      <c r="V58" s="52" t="e">
        <f t="shared" ref="V58:V90" si="9">$V$57/L58</f>
        <v>#REF!</v>
      </c>
      <c r="W58" s="52" t="e">
        <f t="shared" ref="W58:W90" si="10">$W$57/L58</f>
        <v>#REF!</v>
      </c>
      <c r="X58" s="52" t="e">
        <f t="shared" ref="X58:X90" si="11">$X$57/L58</f>
        <v>#REF!</v>
      </c>
      <c r="Y58" s="32"/>
      <c r="Z58" s="32"/>
      <c r="AA58" s="32"/>
      <c r="AB58" s="32"/>
    </row>
    <row r="59" spans="1:28" ht="18.75" customHeight="1" thickBot="1">
      <c r="A59" s="32"/>
      <c r="B59" s="32"/>
      <c r="C59" s="32"/>
      <c r="D59" s="32"/>
      <c r="E59" s="32"/>
      <c r="F59" s="32"/>
      <c r="G59" s="32"/>
      <c r="H59" s="32"/>
      <c r="I59" s="32"/>
      <c r="J59" s="32"/>
      <c r="K59" s="211" t="s">
        <v>94</v>
      </c>
      <c r="L59" s="27">
        <v>20</v>
      </c>
      <c r="M59" s="52" t="e">
        <f t="shared" si="0"/>
        <v>#REF!</v>
      </c>
      <c r="N59" s="52" t="e">
        <f t="shared" si="1"/>
        <v>#REF!</v>
      </c>
      <c r="O59" s="52" t="e">
        <f t="shared" si="2"/>
        <v>#REF!</v>
      </c>
      <c r="P59" s="52" t="e">
        <f t="shared" si="3"/>
        <v>#REF!</v>
      </c>
      <c r="Q59" s="52" t="e">
        <f t="shared" si="4"/>
        <v>#REF!</v>
      </c>
      <c r="R59" s="52" t="e">
        <f t="shared" si="5"/>
        <v>#REF!</v>
      </c>
      <c r="S59" s="52" t="e">
        <f t="shared" si="6"/>
        <v>#REF!</v>
      </c>
      <c r="T59" s="52" t="e">
        <f t="shared" si="7"/>
        <v>#REF!</v>
      </c>
      <c r="U59" s="52" t="e">
        <f t="shared" si="8"/>
        <v>#REF!</v>
      </c>
      <c r="V59" s="52" t="e">
        <f t="shared" si="9"/>
        <v>#REF!</v>
      </c>
      <c r="W59" s="52" t="e">
        <f t="shared" si="10"/>
        <v>#REF!</v>
      </c>
      <c r="X59" s="52" t="e">
        <f t="shared" si="11"/>
        <v>#REF!</v>
      </c>
      <c r="Y59" s="32"/>
      <c r="Z59" s="32"/>
      <c r="AA59" s="32"/>
      <c r="AB59" s="32"/>
    </row>
    <row r="60" spans="1:28" ht="15" customHeight="1">
      <c r="B60" s="76" t="s">
        <v>105</v>
      </c>
      <c r="C60" s="77" t="s">
        <v>0</v>
      </c>
      <c r="D60" s="77" t="s">
        <v>1</v>
      </c>
      <c r="E60" s="77" t="s">
        <v>2</v>
      </c>
      <c r="F60" s="77" t="s">
        <v>3</v>
      </c>
      <c r="G60" s="78" t="s">
        <v>4</v>
      </c>
      <c r="H60" s="32"/>
      <c r="I60" s="32"/>
      <c r="J60" s="32"/>
      <c r="K60" s="212"/>
      <c r="L60" s="27">
        <v>30</v>
      </c>
      <c r="M60" s="52" t="e">
        <f t="shared" si="0"/>
        <v>#REF!</v>
      </c>
      <c r="N60" s="52" t="e">
        <f t="shared" si="1"/>
        <v>#REF!</v>
      </c>
      <c r="O60" s="52" t="e">
        <f t="shared" si="2"/>
        <v>#REF!</v>
      </c>
      <c r="P60" s="52" t="e">
        <f t="shared" si="3"/>
        <v>#REF!</v>
      </c>
      <c r="Q60" s="52" t="e">
        <f t="shared" si="4"/>
        <v>#REF!</v>
      </c>
      <c r="R60" s="52" t="e">
        <f t="shared" si="5"/>
        <v>#REF!</v>
      </c>
      <c r="S60" s="52" t="e">
        <f t="shared" si="6"/>
        <v>#REF!</v>
      </c>
      <c r="T60" s="52" t="e">
        <f t="shared" si="7"/>
        <v>#REF!</v>
      </c>
      <c r="U60" s="52" t="e">
        <f t="shared" si="8"/>
        <v>#REF!</v>
      </c>
      <c r="V60" s="52" t="e">
        <f t="shared" si="9"/>
        <v>#REF!</v>
      </c>
      <c r="W60" s="52" t="e">
        <f t="shared" si="10"/>
        <v>#REF!</v>
      </c>
      <c r="X60" s="52" t="e">
        <f t="shared" si="11"/>
        <v>#REF!</v>
      </c>
      <c r="Y60" s="32"/>
      <c r="Z60" s="32"/>
      <c r="AA60" s="32"/>
      <c r="AB60" s="32"/>
    </row>
    <row r="61" spans="1:28" ht="15" customHeight="1">
      <c r="A61" s="32"/>
      <c r="B61" s="33"/>
      <c r="C61" s="32" t="s">
        <v>93</v>
      </c>
      <c r="D61" s="32" t="s">
        <v>106</v>
      </c>
      <c r="E61" s="32">
        <f>1.5*E22</f>
        <v>450</v>
      </c>
      <c r="F61" s="32" t="s">
        <v>107</v>
      </c>
      <c r="G61" s="34" t="s">
        <v>108</v>
      </c>
      <c r="H61" s="32"/>
      <c r="I61" s="32"/>
      <c r="J61" s="32"/>
      <c r="K61" s="212"/>
      <c r="L61" s="27">
        <v>40</v>
      </c>
      <c r="M61" s="52" t="e">
        <f t="shared" si="0"/>
        <v>#REF!</v>
      </c>
      <c r="N61" s="52" t="e">
        <f t="shared" si="1"/>
        <v>#REF!</v>
      </c>
      <c r="O61" s="52" t="e">
        <f t="shared" si="2"/>
        <v>#REF!</v>
      </c>
      <c r="P61" s="52" t="e">
        <f t="shared" si="3"/>
        <v>#REF!</v>
      </c>
      <c r="Q61" s="52" t="e">
        <f t="shared" si="4"/>
        <v>#REF!</v>
      </c>
      <c r="R61" s="52" t="e">
        <f t="shared" si="5"/>
        <v>#REF!</v>
      </c>
      <c r="S61" s="52" t="e">
        <f t="shared" si="6"/>
        <v>#REF!</v>
      </c>
      <c r="T61" s="52" t="e">
        <f t="shared" si="7"/>
        <v>#REF!</v>
      </c>
      <c r="U61" s="52" t="e">
        <f t="shared" si="8"/>
        <v>#REF!</v>
      </c>
      <c r="V61" s="52" t="e">
        <f t="shared" si="9"/>
        <v>#REF!</v>
      </c>
      <c r="W61" s="52" t="e">
        <f t="shared" si="10"/>
        <v>#REF!</v>
      </c>
      <c r="X61" s="52" t="e">
        <f t="shared" si="11"/>
        <v>#REF!</v>
      </c>
      <c r="Y61" s="32"/>
      <c r="Z61" s="32"/>
      <c r="AA61" s="32"/>
      <c r="AB61" s="32"/>
    </row>
    <row r="62" spans="1:28" ht="15" customHeight="1">
      <c r="A62" s="32"/>
      <c r="B62" s="33" t="s">
        <v>109</v>
      </c>
      <c r="C62" s="46" t="s">
        <v>50</v>
      </c>
      <c r="D62" s="32" t="s">
        <v>113</v>
      </c>
      <c r="E62" s="43">
        <f>MIN(6*E24,E23/4,175,24*E25)</f>
        <v>87.25</v>
      </c>
      <c r="F62" s="32" t="s">
        <v>12</v>
      </c>
      <c r="G62" s="34" t="s">
        <v>112</v>
      </c>
      <c r="H62" s="32"/>
      <c r="I62" s="32"/>
      <c r="J62" s="32"/>
      <c r="K62" s="212"/>
      <c r="L62" s="27">
        <v>50</v>
      </c>
      <c r="M62" s="52" t="e">
        <f t="shared" si="0"/>
        <v>#REF!</v>
      </c>
      <c r="N62" s="52" t="e">
        <f t="shared" si="1"/>
        <v>#REF!</v>
      </c>
      <c r="O62" s="52" t="e">
        <f t="shared" si="2"/>
        <v>#REF!</v>
      </c>
      <c r="P62" s="52" t="e">
        <f t="shared" si="3"/>
        <v>#REF!</v>
      </c>
      <c r="Q62" s="52" t="e">
        <f t="shared" si="4"/>
        <v>#REF!</v>
      </c>
      <c r="R62" s="52" t="e">
        <f t="shared" si="5"/>
        <v>#REF!</v>
      </c>
      <c r="S62" s="52" t="e">
        <f t="shared" si="6"/>
        <v>#REF!</v>
      </c>
      <c r="T62" s="52" t="e">
        <f t="shared" si="7"/>
        <v>#REF!</v>
      </c>
      <c r="U62" s="52" t="e">
        <f t="shared" si="8"/>
        <v>#REF!</v>
      </c>
      <c r="V62" s="52" t="e">
        <f t="shared" si="9"/>
        <v>#REF!</v>
      </c>
      <c r="W62" s="52" t="e">
        <f t="shared" si="10"/>
        <v>#REF!</v>
      </c>
      <c r="X62" s="52" t="e">
        <f t="shared" si="11"/>
        <v>#REF!</v>
      </c>
      <c r="Y62" s="32"/>
      <c r="Z62" s="32"/>
      <c r="AA62" s="32"/>
      <c r="AB62" s="32"/>
    </row>
    <row r="63" spans="1:28" ht="15" customHeight="1" thickBot="1">
      <c r="A63" s="32"/>
      <c r="B63" s="35"/>
      <c r="C63" s="36" t="s">
        <v>50</v>
      </c>
      <c r="D63" s="37" t="s">
        <v>116</v>
      </c>
      <c r="E63" s="75">
        <f>MIN(8*E24,E23/4,225,24*E25)</f>
        <v>87.25</v>
      </c>
      <c r="F63" s="37" t="s">
        <v>12</v>
      </c>
      <c r="G63" s="38" t="s">
        <v>117</v>
      </c>
      <c r="H63" s="32"/>
      <c r="I63" s="32"/>
      <c r="J63" s="32"/>
      <c r="K63" s="212"/>
      <c r="L63" s="27">
        <v>60</v>
      </c>
      <c r="M63" s="52" t="e">
        <f t="shared" si="0"/>
        <v>#REF!</v>
      </c>
      <c r="N63" s="52" t="e">
        <f t="shared" si="1"/>
        <v>#REF!</v>
      </c>
      <c r="O63" s="52" t="e">
        <f t="shared" si="2"/>
        <v>#REF!</v>
      </c>
      <c r="P63" s="52" t="e">
        <f t="shared" si="3"/>
        <v>#REF!</v>
      </c>
      <c r="Q63" s="52" t="e">
        <f t="shared" si="4"/>
        <v>#REF!</v>
      </c>
      <c r="R63" s="52" t="e">
        <f t="shared" si="5"/>
        <v>#REF!</v>
      </c>
      <c r="S63" s="52" t="e">
        <f t="shared" si="6"/>
        <v>#REF!</v>
      </c>
      <c r="T63" s="52" t="e">
        <f t="shared" si="7"/>
        <v>#REF!</v>
      </c>
      <c r="U63" s="52" t="e">
        <f t="shared" si="8"/>
        <v>#REF!</v>
      </c>
      <c r="V63" s="52" t="e">
        <f t="shared" si="9"/>
        <v>#REF!</v>
      </c>
      <c r="W63" s="52" t="e">
        <f t="shared" si="10"/>
        <v>#REF!</v>
      </c>
      <c r="X63" s="52" t="e">
        <f t="shared" si="11"/>
        <v>#REF!</v>
      </c>
      <c r="Y63" s="32"/>
      <c r="Z63" s="32"/>
      <c r="AA63" s="32"/>
      <c r="AB63" s="32"/>
    </row>
    <row r="64" spans="1:28" ht="15" customHeight="1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212"/>
      <c r="L64" s="27">
        <v>70</v>
      </c>
      <c r="M64" s="52" t="e">
        <f t="shared" si="0"/>
        <v>#REF!</v>
      </c>
      <c r="N64" s="52" t="e">
        <f t="shared" si="1"/>
        <v>#REF!</v>
      </c>
      <c r="O64" s="52" t="e">
        <f t="shared" si="2"/>
        <v>#REF!</v>
      </c>
      <c r="P64" s="52" t="e">
        <f t="shared" si="3"/>
        <v>#REF!</v>
      </c>
      <c r="Q64" s="52" t="e">
        <f t="shared" si="4"/>
        <v>#REF!</v>
      </c>
      <c r="R64" s="52" t="e">
        <f t="shared" si="5"/>
        <v>#REF!</v>
      </c>
      <c r="S64" s="52" t="e">
        <f t="shared" si="6"/>
        <v>#REF!</v>
      </c>
      <c r="T64" s="52" t="e">
        <f t="shared" si="7"/>
        <v>#REF!</v>
      </c>
      <c r="U64" s="52" t="e">
        <f t="shared" si="8"/>
        <v>#REF!</v>
      </c>
      <c r="V64" s="52" t="e">
        <f t="shared" si="9"/>
        <v>#REF!</v>
      </c>
      <c r="W64" s="52" t="e">
        <f t="shared" si="10"/>
        <v>#REF!</v>
      </c>
      <c r="X64" s="52" t="e">
        <f t="shared" si="11"/>
        <v>#REF!</v>
      </c>
      <c r="Y64" s="32"/>
      <c r="Z64" s="32"/>
      <c r="AA64" s="32"/>
      <c r="AB64" s="32"/>
    </row>
    <row r="65" spans="1:28" ht="15" customHeight="1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212"/>
      <c r="L65" s="27">
        <v>80</v>
      </c>
      <c r="M65" s="52" t="e">
        <f t="shared" si="0"/>
        <v>#REF!</v>
      </c>
      <c r="N65" s="52" t="e">
        <f t="shared" si="1"/>
        <v>#REF!</v>
      </c>
      <c r="O65" s="52" t="e">
        <f t="shared" si="2"/>
        <v>#REF!</v>
      </c>
      <c r="P65" s="52" t="e">
        <f t="shared" si="3"/>
        <v>#REF!</v>
      </c>
      <c r="Q65" s="52" t="e">
        <f t="shared" si="4"/>
        <v>#REF!</v>
      </c>
      <c r="R65" s="52" t="e">
        <f t="shared" si="5"/>
        <v>#REF!</v>
      </c>
      <c r="S65" s="52" t="e">
        <f t="shared" si="6"/>
        <v>#REF!</v>
      </c>
      <c r="T65" s="52" t="e">
        <f t="shared" si="7"/>
        <v>#REF!</v>
      </c>
      <c r="U65" s="52" t="e">
        <f t="shared" si="8"/>
        <v>#REF!</v>
      </c>
      <c r="V65" s="52" t="e">
        <f t="shared" si="9"/>
        <v>#REF!</v>
      </c>
      <c r="W65" s="52" t="e">
        <f t="shared" si="10"/>
        <v>#REF!</v>
      </c>
      <c r="X65" s="52" t="e">
        <f t="shared" si="11"/>
        <v>#REF!</v>
      </c>
      <c r="Y65" s="32"/>
      <c r="Z65" s="32"/>
      <c r="AA65" s="32"/>
      <c r="AB65" s="32"/>
    </row>
    <row r="66" spans="1:28" ht="15" customHeight="1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212"/>
      <c r="L66" s="27">
        <v>90</v>
      </c>
      <c r="M66" s="52" t="e">
        <f t="shared" si="0"/>
        <v>#REF!</v>
      </c>
      <c r="N66" s="52" t="e">
        <f t="shared" si="1"/>
        <v>#REF!</v>
      </c>
      <c r="O66" s="52" t="e">
        <f t="shared" si="2"/>
        <v>#REF!</v>
      </c>
      <c r="P66" s="52" t="e">
        <f t="shared" si="3"/>
        <v>#REF!</v>
      </c>
      <c r="Q66" s="52" t="e">
        <f t="shared" si="4"/>
        <v>#REF!</v>
      </c>
      <c r="R66" s="52" t="e">
        <f t="shared" si="5"/>
        <v>#REF!</v>
      </c>
      <c r="S66" s="52" t="e">
        <f t="shared" si="6"/>
        <v>#REF!</v>
      </c>
      <c r="T66" s="52" t="e">
        <f t="shared" si="7"/>
        <v>#REF!</v>
      </c>
      <c r="U66" s="52" t="e">
        <f t="shared" si="8"/>
        <v>#REF!</v>
      </c>
      <c r="V66" s="52" t="e">
        <f t="shared" si="9"/>
        <v>#REF!</v>
      </c>
      <c r="W66" s="52" t="e">
        <f t="shared" si="10"/>
        <v>#REF!</v>
      </c>
      <c r="X66" s="52" t="e">
        <f t="shared" si="11"/>
        <v>#REF!</v>
      </c>
      <c r="Y66" s="32"/>
      <c r="Z66" s="32"/>
      <c r="AA66" s="32"/>
      <c r="AB66" s="32"/>
    </row>
    <row r="67" spans="1:28" ht="15" customHeight="1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212"/>
      <c r="L67" s="27">
        <v>100</v>
      </c>
      <c r="M67" s="52" t="e">
        <f t="shared" si="0"/>
        <v>#REF!</v>
      </c>
      <c r="N67" s="52" t="e">
        <f t="shared" si="1"/>
        <v>#REF!</v>
      </c>
      <c r="O67" s="52" t="e">
        <f t="shared" si="2"/>
        <v>#REF!</v>
      </c>
      <c r="P67" s="52" t="e">
        <f t="shared" si="3"/>
        <v>#REF!</v>
      </c>
      <c r="Q67" s="52" t="e">
        <f t="shared" si="4"/>
        <v>#REF!</v>
      </c>
      <c r="R67" s="52" t="e">
        <f t="shared" si="5"/>
        <v>#REF!</v>
      </c>
      <c r="S67" s="52" t="e">
        <f t="shared" si="6"/>
        <v>#REF!</v>
      </c>
      <c r="T67" s="52" t="e">
        <f t="shared" si="7"/>
        <v>#REF!</v>
      </c>
      <c r="U67" s="52" t="e">
        <f t="shared" si="8"/>
        <v>#REF!</v>
      </c>
      <c r="V67" s="52" t="e">
        <f t="shared" si="9"/>
        <v>#REF!</v>
      </c>
      <c r="W67" s="52" t="e">
        <f t="shared" si="10"/>
        <v>#REF!</v>
      </c>
      <c r="X67" s="52" t="e">
        <f t="shared" si="11"/>
        <v>#REF!</v>
      </c>
      <c r="Y67" s="32"/>
      <c r="Z67" s="32"/>
      <c r="AA67" s="32"/>
      <c r="AB67" s="32"/>
    </row>
    <row r="68" spans="1:28" ht="15" customHeight="1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212"/>
      <c r="L68" s="27">
        <v>110</v>
      </c>
      <c r="M68" s="52" t="e">
        <f t="shared" si="0"/>
        <v>#REF!</v>
      </c>
      <c r="N68" s="52" t="e">
        <f t="shared" si="1"/>
        <v>#REF!</v>
      </c>
      <c r="O68" s="52" t="e">
        <f t="shared" si="2"/>
        <v>#REF!</v>
      </c>
      <c r="P68" s="52" t="e">
        <f t="shared" si="3"/>
        <v>#REF!</v>
      </c>
      <c r="Q68" s="52" t="e">
        <f t="shared" si="4"/>
        <v>#REF!</v>
      </c>
      <c r="R68" s="52" t="e">
        <f t="shared" si="5"/>
        <v>#REF!</v>
      </c>
      <c r="S68" s="52" t="e">
        <f t="shared" si="6"/>
        <v>#REF!</v>
      </c>
      <c r="T68" s="52" t="e">
        <f t="shared" si="7"/>
        <v>#REF!</v>
      </c>
      <c r="U68" s="52" t="e">
        <f t="shared" si="8"/>
        <v>#REF!</v>
      </c>
      <c r="V68" s="52" t="e">
        <f t="shared" si="9"/>
        <v>#REF!</v>
      </c>
      <c r="W68" s="52" t="e">
        <f t="shared" si="10"/>
        <v>#REF!</v>
      </c>
      <c r="X68" s="52" t="e">
        <f t="shared" si="11"/>
        <v>#REF!</v>
      </c>
      <c r="Y68" s="32"/>
      <c r="Z68" s="32"/>
      <c r="AA68" s="32"/>
      <c r="AB68" s="32"/>
    </row>
    <row r="69" spans="1:28" ht="15" customHeight="1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212"/>
      <c r="L69" s="27">
        <v>120</v>
      </c>
      <c r="M69" s="52" t="e">
        <f t="shared" si="0"/>
        <v>#REF!</v>
      </c>
      <c r="N69" s="52" t="e">
        <f t="shared" si="1"/>
        <v>#REF!</v>
      </c>
      <c r="O69" s="52" t="e">
        <f t="shared" si="2"/>
        <v>#REF!</v>
      </c>
      <c r="P69" s="52" t="e">
        <f t="shared" si="3"/>
        <v>#REF!</v>
      </c>
      <c r="Q69" s="52" t="e">
        <f t="shared" si="4"/>
        <v>#REF!</v>
      </c>
      <c r="R69" s="52" t="e">
        <f t="shared" si="5"/>
        <v>#REF!</v>
      </c>
      <c r="S69" s="52" t="e">
        <f t="shared" si="6"/>
        <v>#REF!</v>
      </c>
      <c r="T69" s="52" t="e">
        <f t="shared" si="7"/>
        <v>#REF!</v>
      </c>
      <c r="U69" s="52" t="e">
        <f t="shared" si="8"/>
        <v>#REF!</v>
      </c>
      <c r="V69" s="52" t="e">
        <f t="shared" si="9"/>
        <v>#REF!</v>
      </c>
      <c r="W69" s="52" t="e">
        <f t="shared" si="10"/>
        <v>#REF!</v>
      </c>
      <c r="X69" s="52" t="e">
        <f t="shared" si="11"/>
        <v>#REF!</v>
      </c>
      <c r="Y69" s="32"/>
      <c r="Z69" s="32"/>
      <c r="AA69" s="32"/>
      <c r="AB69" s="32"/>
    </row>
    <row r="70" spans="1:28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212"/>
      <c r="L70" s="27">
        <v>130</v>
      </c>
      <c r="M70" s="52" t="e">
        <f t="shared" si="0"/>
        <v>#REF!</v>
      </c>
      <c r="N70" s="52" t="e">
        <f t="shared" si="1"/>
        <v>#REF!</v>
      </c>
      <c r="O70" s="52" t="e">
        <f t="shared" si="2"/>
        <v>#REF!</v>
      </c>
      <c r="P70" s="52" t="e">
        <f t="shared" si="3"/>
        <v>#REF!</v>
      </c>
      <c r="Q70" s="52" t="e">
        <f t="shared" si="4"/>
        <v>#REF!</v>
      </c>
      <c r="R70" s="52" t="e">
        <f t="shared" si="5"/>
        <v>#REF!</v>
      </c>
      <c r="S70" s="52" t="e">
        <f t="shared" si="6"/>
        <v>#REF!</v>
      </c>
      <c r="T70" s="52" t="e">
        <f t="shared" si="7"/>
        <v>#REF!</v>
      </c>
      <c r="U70" s="52" t="e">
        <f t="shared" si="8"/>
        <v>#REF!</v>
      </c>
      <c r="V70" s="52" t="e">
        <f t="shared" si="9"/>
        <v>#REF!</v>
      </c>
      <c r="W70" s="52" t="e">
        <f t="shared" si="10"/>
        <v>#REF!</v>
      </c>
      <c r="X70" s="52" t="e">
        <f t="shared" si="11"/>
        <v>#REF!</v>
      </c>
      <c r="Y70" s="32"/>
      <c r="Z70" s="32"/>
      <c r="AA70" s="32"/>
      <c r="AB70" s="32"/>
    </row>
    <row r="71" spans="1:28" ht="15" customHeight="1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212"/>
      <c r="L71" s="27">
        <v>140</v>
      </c>
      <c r="M71" s="52" t="e">
        <f t="shared" si="0"/>
        <v>#REF!</v>
      </c>
      <c r="N71" s="52" t="e">
        <f t="shared" si="1"/>
        <v>#REF!</v>
      </c>
      <c r="O71" s="52" t="e">
        <f t="shared" si="2"/>
        <v>#REF!</v>
      </c>
      <c r="P71" s="52" t="e">
        <f t="shared" si="3"/>
        <v>#REF!</v>
      </c>
      <c r="Q71" s="52" t="e">
        <f t="shared" si="4"/>
        <v>#REF!</v>
      </c>
      <c r="R71" s="52" t="e">
        <f t="shared" si="5"/>
        <v>#REF!</v>
      </c>
      <c r="S71" s="52" t="e">
        <f t="shared" si="6"/>
        <v>#REF!</v>
      </c>
      <c r="T71" s="52" t="e">
        <f t="shared" si="7"/>
        <v>#REF!</v>
      </c>
      <c r="U71" s="52" t="e">
        <f t="shared" si="8"/>
        <v>#REF!</v>
      </c>
      <c r="V71" s="52" t="e">
        <f t="shared" si="9"/>
        <v>#REF!</v>
      </c>
      <c r="W71" s="52" t="e">
        <f t="shared" si="10"/>
        <v>#REF!</v>
      </c>
      <c r="X71" s="52" t="e">
        <f t="shared" si="11"/>
        <v>#REF!</v>
      </c>
      <c r="Y71" s="32"/>
      <c r="Z71" s="32"/>
      <c r="AA71" s="32"/>
      <c r="AB71" s="32"/>
    </row>
    <row r="72" spans="1:28" ht="15" customHeight="1">
      <c r="A72" s="32"/>
      <c r="B72" s="32"/>
      <c r="C72" s="32"/>
      <c r="D72" s="32"/>
      <c r="E72" s="32"/>
      <c r="F72" s="32"/>
      <c r="G72" s="32"/>
      <c r="H72" s="32"/>
      <c r="I72" s="32"/>
      <c r="J72" s="32"/>
      <c r="K72" s="212"/>
      <c r="L72" s="27">
        <v>150</v>
      </c>
      <c r="M72" s="52" t="e">
        <f t="shared" si="0"/>
        <v>#REF!</v>
      </c>
      <c r="N72" s="52" t="e">
        <f t="shared" si="1"/>
        <v>#REF!</v>
      </c>
      <c r="O72" s="52" t="e">
        <f t="shared" si="2"/>
        <v>#REF!</v>
      </c>
      <c r="P72" s="52" t="e">
        <f t="shared" si="3"/>
        <v>#REF!</v>
      </c>
      <c r="Q72" s="52" t="e">
        <f t="shared" si="4"/>
        <v>#REF!</v>
      </c>
      <c r="R72" s="52" t="e">
        <f t="shared" si="5"/>
        <v>#REF!</v>
      </c>
      <c r="S72" s="52" t="e">
        <f t="shared" si="6"/>
        <v>#REF!</v>
      </c>
      <c r="T72" s="52" t="e">
        <f t="shared" si="7"/>
        <v>#REF!</v>
      </c>
      <c r="U72" s="52" t="e">
        <f t="shared" si="8"/>
        <v>#REF!</v>
      </c>
      <c r="V72" s="52" t="e">
        <f t="shared" si="9"/>
        <v>#REF!</v>
      </c>
      <c r="W72" s="52" t="e">
        <f t="shared" si="10"/>
        <v>#REF!</v>
      </c>
      <c r="X72" s="52" t="e">
        <f t="shared" si="11"/>
        <v>#REF!</v>
      </c>
      <c r="Y72" s="32"/>
      <c r="Z72" s="32"/>
      <c r="AA72" s="32"/>
      <c r="AB72" s="32"/>
    </row>
    <row r="73" spans="1:28" ht="15" customHeight="1">
      <c r="A73" s="32"/>
      <c r="B73" s="32"/>
      <c r="C73" s="32"/>
      <c r="D73" s="32"/>
      <c r="E73" s="32"/>
      <c r="F73" s="32"/>
      <c r="G73" s="32"/>
      <c r="H73" s="32"/>
      <c r="I73" s="32"/>
      <c r="J73" s="32"/>
      <c r="K73" s="212"/>
      <c r="L73" s="27">
        <v>160</v>
      </c>
      <c r="M73" s="52" t="e">
        <f t="shared" si="0"/>
        <v>#REF!</v>
      </c>
      <c r="N73" s="52" t="e">
        <f t="shared" si="1"/>
        <v>#REF!</v>
      </c>
      <c r="O73" s="52" t="e">
        <f t="shared" si="2"/>
        <v>#REF!</v>
      </c>
      <c r="P73" s="52" t="e">
        <f t="shared" si="3"/>
        <v>#REF!</v>
      </c>
      <c r="Q73" s="52" t="e">
        <f t="shared" si="4"/>
        <v>#REF!</v>
      </c>
      <c r="R73" s="52" t="e">
        <f t="shared" si="5"/>
        <v>#REF!</v>
      </c>
      <c r="S73" s="52" t="e">
        <f t="shared" si="6"/>
        <v>#REF!</v>
      </c>
      <c r="T73" s="52" t="e">
        <f t="shared" si="7"/>
        <v>#REF!</v>
      </c>
      <c r="U73" s="52" t="e">
        <f t="shared" si="8"/>
        <v>#REF!</v>
      </c>
      <c r="V73" s="52" t="e">
        <f t="shared" si="9"/>
        <v>#REF!</v>
      </c>
      <c r="W73" s="52" t="e">
        <f t="shared" si="10"/>
        <v>#REF!</v>
      </c>
      <c r="X73" s="52" t="e">
        <f t="shared" si="11"/>
        <v>#REF!</v>
      </c>
      <c r="Y73" s="32"/>
      <c r="Z73" s="32"/>
      <c r="AA73" s="32"/>
      <c r="AB73" s="32"/>
    </row>
    <row r="74" spans="1:28" ht="15" customHeight="1">
      <c r="A74" s="32"/>
      <c r="B74" s="32"/>
      <c r="C74" s="32"/>
      <c r="D74" s="32"/>
      <c r="E74" s="32"/>
      <c r="F74" s="32"/>
      <c r="G74" s="32"/>
      <c r="H74" s="32"/>
      <c r="I74" s="32"/>
      <c r="J74" s="32"/>
      <c r="K74" s="212"/>
      <c r="L74" s="27">
        <v>170</v>
      </c>
      <c r="M74" s="52" t="e">
        <f t="shared" si="0"/>
        <v>#REF!</v>
      </c>
      <c r="N74" s="52" t="e">
        <f t="shared" si="1"/>
        <v>#REF!</v>
      </c>
      <c r="O74" s="52" t="e">
        <f t="shared" si="2"/>
        <v>#REF!</v>
      </c>
      <c r="P74" s="52" t="e">
        <f t="shared" si="3"/>
        <v>#REF!</v>
      </c>
      <c r="Q74" s="52" t="e">
        <f t="shared" si="4"/>
        <v>#REF!</v>
      </c>
      <c r="R74" s="52" t="e">
        <f t="shared" si="5"/>
        <v>#REF!</v>
      </c>
      <c r="S74" s="52" t="e">
        <f t="shared" si="6"/>
        <v>#REF!</v>
      </c>
      <c r="T74" s="52" t="e">
        <f t="shared" si="7"/>
        <v>#REF!</v>
      </c>
      <c r="U74" s="52" t="e">
        <f t="shared" si="8"/>
        <v>#REF!</v>
      </c>
      <c r="V74" s="52" t="e">
        <f t="shared" si="9"/>
        <v>#REF!</v>
      </c>
      <c r="W74" s="52" t="e">
        <f t="shared" si="10"/>
        <v>#REF!</v>
      </c>
      <c r="X74" s="52" t="e">
        <f t="shared" si="11"/>
        <v>#REF!</v>
      </c>
      <c r="Y74" s="32"/>
      <c r="Z74" s="32"/>
      <c r="AA74" s="32"/>
      <c r="AB74" s="32"/>
    </row>
    <row r="75" spans="1:28" ht="15" customHeight="1">
      <c r="A75" s="32"/>
      <c r="B75" s="32"/>
      <c r="C75" s="32"/>
      <c r="D75" s="32"/>
      <c r="E75" s="32"/>
      <c r="F75" s="32"/>
      <c r="G75" s="32"/>
      <c r="H75" s="32"/>
      <c r="I75" s="32"/>
      <c r="J75" s="32"/>
      <c r="K75" s="212"/>
      <c r="L75" s="27">
        <v>180</v>
      </c>
      <c r="M75" s="52" t="e">
        <f t="shared" si="0"/>
        <v>#REF!</v>
      </c>
      <c r="N75" s="52" t="e">
        <f t="shared" si="1"/>
        <v>#REF!</v>
      </c>
      <c r="O75" s="52" t="e">
        <f t="shared" si="2"/>
        <v>#REF!</v>
      </c>
      <c r="P75" s="52" t="e">
        <f t="shared" si="3"/>
        <v>#REF!</v>
      </c>
      <c r="Q75" s="52" t="e">
        <f t="shared" si="4"/>
        <v>#REF!</v>
      </c>
      <c r="R75" s="52" t="e">
        <f t="shared" si="5"/>
        <v>#REF!</v>
      </c>
      <c r="S75" s="52" t="e">
        <f t="shared" si="6"/>
        <v>#REF!</v>
      </c>
      <c r="T75" s="52" t="e">
        <f t="shared" si="7"/>
        <v>#REF!</v>
      </c>
      <c r="U75" s="52" t="e">
        <f t="shared" si="8"/>
        <v>#REF!</v>
      </c>
      <c r="V75" s="52" t="e">
        <f t="shared" si="9"/>
        <v>#REF!</v>
      </c>
      <c r="W75" s="52" t="e">
        <f t="shared" si="10"/>
        <v>#REF!</v>
      </c>
      <c r="X75" s="52" t="e">
        <f t="shared" si="11"/>
        <v>#REF!</v>
      </c>
      <c r="Y75" s="32"/>
      <c r="Z75" s="32"/>
      <c r="AA75" s="32"/>
      <c r="AB75" s="32"/>
    </row>
    <row r="76" spans="1:28" ht="15" customHeight="1">
      <c r="A76" s="32"/>
      <c r="B76" s="32"/>
      <c r="C76" s="32"/>
      <c r="D76" s="32"/>
      <c r="E76" s="32"/>
      <c r="F76" s="32"/>
      <c r="G76" s="32"/>
      <c r="H76" s="32"/>
      <c r="I76" s="32"/>
      <c r="J76" s="32"/>
      <c r="K76" s="212"/>
      <c r="L76" s="27">
        <v>190</v>
      </c>
      <c r="M76" s="52" t="e">
        <f t="shared" si="0"/>
        <v>#REF!</v>
      </c>
      <c r="N76" s="52" t="e">
        <f t="shared" si="1"/>
        <v>#REF!</v>
      </c>
      <c r="O76" s="52" t="e">
        <f t="shared" si="2"/>
        <v>#REF!</v>
      </c>
      <c r="P76" s="52" t="e">
        <f t="shared" si="3"/>
        <v>#REF!</v>
      </c>
      <c r="Q76" s="52" t="e">
        <f t="shared" si="4"/>
        <v>#REF!</v>
      </c>
      <c r="R76" s="52" t="e">
        <f t="shared" si="5"/>
        <v>#REF!</v>
      </c>
      <c r="S76" s="52" t="e">
        <f t="shared" si="6"/>
        <v>#REF!</v>
      </c>
      <c r="T76" s="52" t="e">
        <f t="shared" si="7"/>
        <v>#REF!</v>
      </c>
      <c r="U76" s="52" t="e">
        <f t="shared" si="8"/>
        <v>#REF!</v>
      </c>
      <c r="V76" s="52" t="e">
        <f t="shared" si="9"/>
        <v>#REF!</v>
      </c>
      <c r="W76" s="52" t="e">
        <f t="shared" si="10"/>
        <v>#REF!</v>
      </c>
      <c r="X76" s="52" t="e">
        <f t="shared" si="11"/>
        <v>#REF!</v>
      </c>
      <c r="Y76" s="32"/>
      <c r="Z76" s="32"/>
      <c r="AA76" s="32"/>
      <c r="AB76" s="32"/>
    </row>
    <row r="77" spans="1:28" ht="15.75" customHeight="1">
      <c r="A77" s="32"/>
      <c r="B77" s="32"/>
      <c r="C77" s="32"/>
      <c r="D77" s="32"/>
      <c r="E77" s="32"/>
      <c r="F77" s="32"/>
      <c r="G77" s="32"/>
      <c r="H77" s="32"/>
      <c r="I77" s="32"/>
      <c r="J77" s="32"/>
      <c r="K77" s="212"/>
      <c r="L77" s="27">
        <v>200</v>
      </c>
      <c r="M77" s="52" t="e">
        <f t="shared" si="0"/>
        <v>#REF!</v>
      </c>
      <c r="N77" s="52" t="e">
        <f t="shared" si="1"/>
        <v>#REF!</v>
      </c>
      <c r="O77" s="52" t="e">
        <f t="shared" si="2"/>
        <v>#REF!</v>
      </c>
      <c r="P77" s="52" t="e">
        <f t="shared" si="3"/>
        <v>#REF!</v>
      </c>
      <c r="Q77" s="52" t="e">
        <f t="shared" si="4"/>
        <v>#REF!</v>
      </c>
      <c r="R77" s="52" t="e">
        <f t="shared" si="5"/>
        <v>#REF!</v>
      </c>
      <c r="S77" s="52" t="e">
        <f t="shared" si="6"/>
        <v>#REF!</v>
      </c>
      <c r="T77" s="52" t="e">
        <f t="shared" si="7"/>
        <v>#REF!</v>
      </c>
      <c r="U77" s="52" t="e">
        <f t="shared" si="8"/>
        <v>#REF!</v>
      </c>
      <c r="V77" s="52" t="e">
        <f t="shared" si="9"/>
        <v>#REF!</v>
      </c>
      <c r="W77" s="52" t="e">
        <f t="shared" si="10"/>
        <v>#REF!</v>
      </c>
      <c r="X77" s="52" t="e">
        <f t="shared" si="11"/>
        <v>#REF!</v>
      </c>
      <c r="Y77" s="32"/>
      <c r="Z77" s="32"/>
      <c r="AA77" s="32"/>
      <c r="AB77" s="32"/>
    </row>
    <row r="78" spans="1:28" ht="15.75" customHeight="1">
      <c r="A78" s="32"/>
      <c r="B78" s="32"/>
      <c r="C78" s="32"/>
      <c r="D78" s="32"/>
      <c r="E78" s="32"/>
      <c r="F78" s="32"/>
      <c r="G78" s="32"/>
      <c r="H78" s="32"/>
      <c r="I78" s="32"/>
      <c r="J78" s="32"/>
      <c r="K78" s="212"/>
      <c r="L78" s="27">
        <v>210</v>
      </c>
      <c r="M78" s="52" t="e">
        <f t="shared" si="0"/>
        <v>#REF!</v>
      </c>
      <c r="N78" s="52" t="e">
        <f t="shared" si="1"/>
        <v>#REF!</v>
      </c>
      <c r="O78" s="52" t="e">
        <f t="shared" si="2"/>
        <v>#REF!</v>
      </c>
      <c r="P78" s="52" t="e">
        <f t="shared" si="3"/>
        <v>#REF!</v>
      </c>
      <c r="Q78" s="52" t="e">
        <f t="shared" si="4"/>
        <v>#REF!</v>
      </c>
      <c r="R78" s="52" t="e">
        <f t="shared" si="5"/>
        <v>#REF!</v>
      </c>
      <c r="S78" s="52" t="e">
        <f t="shared" si="6"/>
        <v>#REF!</v>
      </c>
      <c r="T78" s="52" t="e">
        <f t="shared" si="7"/>
        <v>#REF!</v>
      </c>
      <c r="U78" s="52" t="e">
        <f t="shared" si="8"/>
        <v>#REF!</v>
      </c>
      <c r="V78" s="52" t="e">
        <f t="shared" si="9"/>
        <v>#REF!</v>
      </c>
      <c r="W78" s="52" t="e">
        <f t="shared" si="10"/>
        <v>#REF!</v>
      </c>
      <c r="X78" s="52" t="e">
        <f t="shared" si="11"/>
        <v>#REF!</v>
      </c>
      <c r="Y78" s="32"/>
      <c r="Z78" s="32"/>
      <c r="AA78" s="32"/>
      <c r="AB78" s="32"/>
    </row>
    <row r="79" spans="1:28" ht="15" customHeight="1">
      <c r="A79" s="32"/>
      <c r="B79" s="32"/>
      <c r="C79" s="32"/>
      <c r="D79" s="32"/>
      <c r="E79" s="32"/>
      <c r="F79" s="32"/>
      <c r="G79" s="32"/>
      <c r="H79" s="32"/>
      <c r="I79" s="32"/>
      <c r="J79" s="32"/>
      <c r="K79" s="212"/>
      <c r="L79" s="27">
        <v>220</v>
      </c>
      <c r="M79" s="52" t="e">
        <f t="shared" si="0"/>
        <v>#REF!</v>
      </c>
      <c r="N79" s="52" t="e">
        <f t="shared" si="1"/>
        <v>#REF!</v>
      </c>
      <c r="O79" s="52" t="e">
        <f t="shared" si="2"/>
        <v>#REF!</v>
      </c>
      <c r="P79" s="52" t="e">
        <f t="shared" si="3"/>
        <v>#REF!</v>
      </c>
      <c r="Q79" s="52" t="e">
        <f t="shared" si="4"/>
        <v>#REF!</v>
      </c>
      <c r="R79" s="52" t="e">
        <f t="shared" si="5"/>
        <v>#REF!</v>
      </c>
      <c r="S79" s="52" t="e">
        <f t="shared" si="6"/>
        <v>#REF!</v>
      </c>
      <c r="T79" s="52" t="e">
        <f t="shared" si="7"/>
        <v>#REF!</v>
      </c>
      <c r="U79" s="52" t="e">
        <f t="shared" si="8"/>
        <v>#REF!</v>
      </c>
      <c r="V79" s="52" t="e">
        <f t="shared" si="9"/>
        <v>#REF!</v>
      </c>
      <c r="W79" s="52" t="e">
        <f t="shared" si="10"/>
        <v>#REF!</v>
      </c>
      <c r="X79" s="52" t="e">
        <f t="shared" si="11"/>
        <v>#REF!</v>
      </c>
      <c r="Y79" s="32"/>
      <c r="Z79" s="32"/>
      <c r="AA79" s="32"/>
      <c r="AB79" s="32"/>
    </row>
    <row r="80" spans="1:28" ht="15" customHeight="1">
      <c r="A80" s="32"/>
      <c r="B80" s="32"/>
      <c r="C80" s="32"/>
      <c r="D80" s="32"/>
      <c r="E80" s="32"/>
      <c r="F80" s="32"/>
      <c r="G80" s="32"/>
      <c r="H80" s="32"/>
      <c r="I80" s="32"/>
      <c r="J80" s="32"/>
      <c r="K80" s="212"/>
      <c r="L80" s="27">
        <v>230</v>
      </c>
      <c r="M80" s="52" t="e">
        <f t="shared" si="0"/>
        <v>#REF!</v>
      </c>
      <c r="N80" s="52" t="e">
        <f t="shared" si="1"/>
        <v>#REF!</v>
      </c>
      <c r="O80" s="52" t="e">
        <f t="shared" si="2"/>
        <v>#REF!</v>
      </c>
      <c r="P80" s="52" t="e">
        <f t="shared" si="3"/>
        <v>#REF!</v>
      </c>
      <c r="Q80" s="52" t="e">
        <f t="shared" si="4"/>
        <v>#REF!</v>
      </c>
      <c r="R80" s="52" t="e">
        <f t="shared" si="5"/>
        <v>#REF!</v>
      </c>
      <c r="S80" s="52" t="e">
        <f t="shared" si="6"/>
        <v>#REF!</v>
      </c>
      <c r="T80" s="52" t="e">
        <f t="shared" si="7"/>
        <v>#REF!</v>
      </c>
      <c r="U80" s="52" t="e">
        <f t="shared" si="8"/>
        <v>#REF!</v>
      </c>
      <c r="V80" s="52" t="e">
        <f t="shared" si="9"/>
        <v>#REF!</v>
      </c>
      <c r="W80" s="52" t="e">
        <f t="shared" si="10"/>
        <v>#REF!</v>
      </c>
      <c r="X80" s="52" t="e">
        <f t="shared" si="11"/>
        <v>#REF!</v>
      </c>
      <c r="Y80" s="32"/>
      <c r="Z80" s="32"/>
      <c r="AA80" s="32"/>
      <c r="AB80" s="32"/>
    </row>
    <row r="81" spans="1:28" ht="15" customHeight="1">
      <c r="A81" s="32"/>
      <c r="B81" s="32"/>
      <c r="C81" s="32"/>
      <c r="D81" s="32"/>
      <c r="E81" s="32"/>
      <c r="F81" s="32"/>
      <c r="G81" s="32"/>
      <c r="H81" s="32"/>
      <c r="I81" s="32"/>
      <c r="J81" s="32"/>
      <c r="K81" s="212"/>
      <c r="L81" s="27">
        <v>240</v>
      </c>
      <c r="M81" s="52" t="e">
        <f t="shared" si="0"/>
        <v>#REF!</v>
      </c>
      <c r="N81" s="52" t="e">
        <f t="shared" si="1"/>
        <v>#REF!</v>
      </c>
      <c r="O81" s="52" t="e">
        <f t="shared" si="2"/>
        <v>#REF!</v>
      </c>
      <c r="P81" s="52" t="e">
        <f t="shared" si="3"/>
        <v>#REF!</v>
      </c>
      <c r="Q81" s="52" t="e">
        <f t="shared" si="4"/>
        <v>#REF!</v>
      </c>
      <c r="R81" s="52" t="e">
        <f t="shared" si="5"/>
        <v>#REF!</v>
      </c>
      <c r="S81" s="52" t="e">
        <f t="shared" si="6"/>
        <v>#REF!</v>
      </c>
      <c r="T81" s="52" t="e">
        <f t="shared" si="7"/>
        <v>#REF!</v>
      </c>
      <c r="U81" s="52" t="e">
        <f t="shared" si="8"/>
        <v>#REF!</v>
      </c>
      <c r="V81" s="52" t="e">
        <f t="shared" si="9"/>
        <v>#REF!</v>
      </c>
      <c r="W81" s="52" t="e">
        <f t="shared" si="10"/>
        <v>#REF!</v>
      </c>
      <c r="X81" s="52" t="e">
        <f t="shared" si="11"/>
        <v>#REF!</v>
      </c>
      <c r="Y81" s="32"/>
      <c r="Z81" s="32"/>
      <c r="AA81" s="32"/>
      <c r="AB81" s="32"/>
    </row>
    <row r="82" spans="1:28" ht="15" customHeight="1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212"/>
      <c r="L82" s="27">
        <v>250</v>
      </c>
      <c r="M82" s="52" t="e">
        <f t="shared" si="0"/>
        <v>#REF!</v>
      </c>
      <c r="N82" s="52" t="e">
        <f t="shared" si="1"/>
        <v>#REF!</v>
      </c>
      <c r="O82" s="52" t="e">
        <f t="shared" si="2"/>
        <v>#REF!</v>
      </c>
      <c r="P82" s="52" t="e">
        <f t="shared" si="3"/>
        <v>#REF!</v>
      </c>
      <c r="Q82" s="52" t="e">
        <f t="shared" si="4"/>
        <v>#REF!</v>
      </c>
      <c r="R82" s="52" t="e">
        <f t="shared" si="5"/>
        <v>#REF!</v>
      </c>
      <c r="S82" s="52" t="e">
        <f t="shared" si="6"/>
        <v>#REF!</v>
      </c>
      <c r="T82" s="52" t="e">
        <f t="shared" si="7"/>
        <v>#REF!</v>
      </c>
      <c r="U82" s="52" t="e">
        <f t="shared" si="8"/>
        <v>#REF!</v>
      </c>
      <c r="V82" s="52" t="e">
        <f t="shared" si="9"/>
        <v>#REF!</v>
      </c>
      <c r="W82" s="52" t="e">
        <f t="shared" si="10"/>
        <v>#REF!</v>
      </c>
      <c r="X82" s="52" t="e">
        <f t="shared" si="11"/>
        <v>#REF!</v>
      </c>
      <c r="Y82" s="32"/>
      <c r="Z82" s="32"/>
      <c r="AA82" s="32"/>
      <c r="AB82" s="32"/>
    </row>
    <row r="83" spans="1:28" ht="15" customHeight="1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212"/>
      <c r="L83" s="27">
        <v>260</v>
      </c>
      <c r="M83" s="52" t="e">
        <f t="shared" si="0"/>
        <v>#REF!</v>
      </c>
      <c r="N83" s="52" t="e">
        <f t="shared" si="1"/>
        <v>#REF!</v>
      </c>
      <c r="O83" s="52" t="e">
        <f t="shared" si="2"/>
        <v>#REF!</v>
      </c>
      <c r="P83" s="52" t="e">
        <f t="shared" si="3"/>
        <v>#REF!</v>
      </c>
      <c r="Q83" s="52" t="e">
        <f t="shared" si="4"/>
        <v>#REF!</v>
      </c>
      <c r="R83" s="52" t="e">
        <f t="shared" si="5"/>
        <v>#REF!</v>
      </c>
      <c r="S83" s="52" t="e">
        <f t="shared" si="6"/>
        <v>#REF!</v>
      </c>
      <c r="T83" s="52" t="e">
        <f t="shared" si="7"/>
        <v>#REF!</v>
      </c>
      <c r="U83" s="52" t="e">
        <f t="shared" si="8"/>
        <v>#REF!</v>
      </c>
      <c r="V83" s="52" t="e">
        <f t="shared" si="9"/>
        <v>#REF!</v>
      </c>
      <c r="W83" s="52" t="e">
        <f t="shared" si="10"/>
        <v>#REF!</v>
      </c>
      <c r="X83" s="52" t="e">
        <f t="shared" si="11"/>
        <v>#REF!</v>
      </c>
      <c r="Y83" s="32"/>
      <c r="Z83" s="32"/>
      <c r="AA83" s="32"/>
      <c r="AB83" s="32"/>
    </row>
    <row r="84" spans="1:28" ht="15" customHeight="1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212"/>
      <c r="L84" s="27">
        <v>270</v>
      </c>
      <c r="M84" s="52" t="e">
        <f t="shared" si="0"/>
        <v>#REF!</v>
      </c>
      <c r="N84" s="52" t="e">
        <f t="shared" si="1"/>
        <v>#REF!</v>
      </c>
      <c r="O84" s="52" t="e">
        <f t="shared" si="2"/>
        <v>#REF!</v>
      </c>
      <c r="P84" s="52" t="e">
        <f t="shared" si="3"/>
        <v>#REF!</v>
      </c>
      <c r="Q84" s="52" t="e">
        <f t="shared" si="4"/>
        <v>#REF!</v>
      </c>
      <c r="R84" s="52" t="e">
        <f t="shared" si="5"/>
        <v>#REF!</v>
      </c>
      <c r="S84" s="52" t="e">
        <f t="shared" si="6"/>
        <v>#REF!</v>
      </c>
      <c r="T84" s="52" t="e">
        <f t="shared" si="7"/>
        <v>#REF!</v>
      </c>
      <c r="U84" s="52" t="e">
        <f t="shared" si="8"/>
        <v>#REF!</v>
      </c>
      <c r="V84" s="52" t="e">
        <f t="shared" si="9"/>
        <v>#REF!</v>
      </c>
      <c r="W84" s="52" t="e">
        <f t="shared" si="10"/>
        <v>#REF!</v>
      </c>
      <c r="X84" s="52" t="e">
        <f t="shared" si="11"/>
        <v>#REF!</v>
      </c>
      <c r="Y84" s="32"/>
      <c r="Z84" s="32"/>
      <c r="AA84" s="32"/>
      <c r="AB84" s="32"/>
    </row>
    <row r="85" spans="1:28" ht="15" customHeight="1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212"/>
      <c r="L85" s="27">
        <v>280</v>
      </c>
      <c r="M85" s="52" t="e">
        <f t="shared" si="0"/>
        <v>#REF!</v>
      </c>
      <c r="N85" s="52" t="e">
        <f t="shared" si="1"/>
        <v>#REF!</v>
      </c>
      <c r="O85" s="52" t="e">
        <f t="shared" si="2"/>
        <v>#REF!</v>
      </c>
      <c r="P85" s="52" t="e">
        <f t="shared" si="3"/>
        <v>#REF!</v>
      </c>
      <c r="Q85" s="52" t="e">
        <f t="shared" si="4"/>
        <v>#REF!</v>
      </c>
      <c r="R85" s="52" t="e">
        <f t="shared" si="5"/>
        <v>#REF!</v>
      </c>
      <c r="S85" s="52" t="e">
        <f t="shared" si="6"/>
        <v>#REF!</v>
      </c>
      <c r="T85" s="52" t="e">
        <f t="shared" si="7"/>
        <v>#REF!</v>
      </c>
      <c r="U85" s="52" t="e">
        <f t="shared" si="8"/>
        <v>#REF!</v>
      </c>
      <c r="V85" s="52" t="e">
        <f t="shared" si="9"/>
        <v>#REF!</v>
      </c>
      <c r="W85" s="52" t="e">
        <f t="shared" si="10"/>
        <v>#REF!</v>
      </c>
      <c r="X85" s="52" t="e">
        <f t="shared" si="11"/>
        <v>#REF!</v>
      </c>
      <c r="Y85" s="32"/>
      <c r="Z85" s="32"/>
      <c r="AA85" s="32"/>
      <c r="AB85" s="32"/>
    </row>
    <row r="86" spans="1:28" ht="15" customHeight="1">
      <c r="A86" s="32"/>
      <c r="B86" s="32"/>
      <c r="C86" s="32"/>
      <c r="D86" s="32"/>
      <c r="E86" s="32"/>
      <c r="F86" s="32"/>
      <c r="G86" s="32"/>
      <c r="H86" s="32"/>
      <c r="I86" s="32"/>
      <c r="J86" s="32"/>
      <c r="K86" s="212"/>
      <c r="L86" s="27">
        <v>290</v>
      </c>
      <c r="M86" s="52" t="e">
        <f t="shared" si="0"/>
        <v>#REF!</v>
      </c>
      <c r="N86" s="52" t="e">
        <f t="shared" si="1"/>
        <v>#REF!</v>
      </c>
      <c r="O86" s="52" t="e">
        <f t="shared" si="2"/>
        <v>#REF!</v>
      </c>
      <c r="P86" s="52" t="e">
        <f t="shared" si="3"/>
        <v>#REF!</v>
      </c>
      <c r="Q86" s="52" t="e">
        <f t="shared" si="4"/>
        <v>#REF!</v>
      </c>
      <c r="R86" s="52" t="e">
        <f t="shared" si="5"/>
        <v>#REF!</v>
      </c>
      <c r="S86" s="52" t="e">
        <f t="shared" si="6"/>
        <v>#REF!</v>
      </c>
      <c r="T86" s="52" t="e">
        <f t="shared" si="7"/>
        <v>#REF!</v>
      </c>
      <c r="U86" s="52" t="e">
        <f t="shared" si="8"/>
        <v>#REF!</v>
      </c>
      <c r="V86" s="52" t="e">
        <f t="shared" si="9"/>
        <v>#REF!</v>
      </c>
      <c r="W86" s="52" t="e">
        <f t="shared" si="10"/>
        <v>#REF!</v>
      </c>
      <c r="X86" s="52" t="e">
        <f t="shared" si="11"/>
        <v>#REF!</v>
      </c>
      <c r="Y86" s="32"/>
      <c r="Z86" s="32"/>
      <c r="AA86" s="32"/>
      <c r="AB86" s="32"/>
    </row>
    <row r="87" spans="1:28" ht="15" customHeight="1">
      <c r="A87" s="32"/>
      <c r="B87" s="32"/>
      <c r="C87" s="32"/>
      <c r="D87" s="32"/>
      <c r="E87" s="32"/>
      <c r="F87" s="32"/>
      <c r="G87" s="32"/>
      <c r="H87" s="32"/>
      <c r="I87" s="32"/>
      <c r="J87" s="32"/>
      <c r="K87" s="212"/>
      <c r="L87" s="27">
        <v>300</v>
      </c>
      <c r="M87" s="52" t="e">
        <f t="shared" si="0"/>
        <v>#REF!</v>
      </c>
      <c r="N87" s="52" t="e">
        <f t="shared" si="1"/>
        <v>#REF!</v>
      </c>
      <c r="O87" s="52" t="e">
        <f t="shared" si="2"/>
        <v>#REF!</v>
      </c>
      <c r="P87" s="52" t="e">
        <f t="shared" si="3"/>
        <v>#REF!</v>
      </c>
      <c r="Q87" s="52" t="e">
        <f t="shared" si="4"/>
        <v>#REF!</v>
      </c>
      <c r="R87" s="52" t="e">
        <f t="shared" si="5"/>
        <v>#REF!</v>
      </c>
      <c r="S87" s="52" t="e">
        <f t="shared" si="6"/>
        <v>#REF!</v>
      </c>
      <c r="T87" s="52" t="e">
        <f t="shared" si="7"/>
        <v>#REF!</v>
      </c>
      <c r="U87" s="52" t="e">
        <f t="shared" si="8"/>
        <v>#REF!</v>
      </c>
      <c r="V87" s="52" t="e">
        <f t="shared" si="9"/>
        <v>#REF!</v>
      </c>
      <c r="W87" s="52" t="e">
        <f t="shared" si="10"/>
        <v>#REF!</v>
      </c>
      <c r="X87" s="52" t="e">
        <f t="shared" si="11"/>
        <v>#REF!</v>
      </c>
      <c r="Y87" s="32"/>
      <c r="Z87" s="32"/>
      <c r="AA87" s="32"/>
      <c r="AB87" s="32"/>
    </row>
    <row r="88" spans="1:28" ht="15" customHeight="1">
      <c r="A88" s="32"/>
      <c r="B88" s="32"/>
      <c r="C88" s="32"/>
      <c r="D88" s="32"/>
      <c r="E88" s="32"/>
      <c r="F88" s="32"/>
      <c r="G88" s="32"/>
      <c r="H88" s="32"/>
      <c r="I88" s="32"/>
      <c r="J88" s="32"/>
      <c r="K88" s="212"/>
      <c r="L88" s="27">
        <v>310</v>
      </c>
      <c r="M88" s="52" t="e">
        <f t="shared" si="0"/>
        <v>#REF!</v>
      </c>
      <c r="N88" s="52" t="e">
        <f t="shared" si="1"/>
        <v>#REF!</v>
      </c>
      <c r="O88" s="52" t="e">
        <f t="shared" si="2"/>
        <v>#REF!</v>
      </c>
      <c r="P88" s="52" t="e">
        <f t="shared" si="3"/>
        <v>#REF!</v>
      </c>
      <c r="Q88" s="52" t="e">
        <f t="shared" si="4"/>
        <v>#REF!</v>
      </c>
      <c r="R88" s="52" t="e">
        <f t="shared" si="5"/>
        <v>#REF!</v>
      </c>
      <c r="S88" s="52" t="e">
        <f t="shared" si="6"/>
        <v>#REF!</v>
      </c>
      <c r="T88" s="52" t="e">
        <f t="shared" si="7"/>
        <v>#REF!</v>
      </c>
      <c r="U88" s="52" t="e">
        <f t="shared" si="8"/>
        <v>#REF!</v>
      </c>
      <c r="V88" s="52" t="e">
        <f t="shared" si="9"/>
        <v>#REF!</v>
      </c>
      <c r="W88" s="52" t="e">
        <f t="shared" si="10"/>
        <v>#REF!</v>
      </c>
      <c r="X88" s="52" t="e">
        <f t="shared" si="11"/>
        <v>#REF!</v>
      </c>
      <c r="Y88" s="32"/>
      <c r="Z88" s="32"/>
      <c r="AA88" s="32"/>
      <c r="AB88" s="32"/>
    </row>
    <row r="89" spans="1:28" ht="15" customHeight="1">
      <c r="A89" s="32"/>
      <c r="B89" s="32"/>
      <c r="C89" s="32"/>
      <c r="D89" s="32"/>
      <c r="E89" s="32"/>
      <c r="F89" s="32"/>
      <c r="G89" s="32"/>
      <c r="H89" s="32"/>
      <c r="I89" s="32"/>
      <c r="J89" s="32"/>
      <c r="K89" s="212"/>
      <c r="L89" s="27">
        <v>320</v>
      </c>
      <c r="M89" s="52" t="e">
        <f t="shared" si="0"/>
        <v>#REF!</v>
      </c>
      <c r="N89" s="52" t="e">
        <f t="shared" si="1"/>
        <v>#REF!</v>
      </c>
      <c r="O89" s="52" t="e">
        <f t="shared" si="2"/>
        <v>#REF!</v>
      </c>
      <c r="P89" s="52" t="e">
        <f t="shared" si="3"/>
        <v>#REF!</v>
      </c>
      <c r="Q89" s="52" t="e">
        <f t="shared" si="4"/>
        <v>#REF!</v>
      </c>
      <c r="R89" s="52" t="e">
        <f t="shared" si="5"/>
        <v>#REF!</v>
      </c>
      <c r="S89" s="52" t="e">
        <f t="shared" si="6"/>
        <v>#REF!</v>
      </c>
      <c r="T89" s="52" t="e">
        <f t="shared" si="7"/>
        <v>#REF!</v>
      </c>
      <c r="U89" s="52" t="e">
        <f t="shared" si="8"/>
        <v>#REF!</v>
      </c>
      <c r="V89" s="52" t="e">
        <f t="shared" si="9"/>
        <v>#REF!</v>
      </c>
      <c r="W89" s="52" t="e">
        <f t="shared" si="10"/>
        <v>#REF!</v>
      </c>
      <c r="X89" s="52" t="e">
        <f t="shared" si="11"/>
        <v>#REF!</v>
      </c>
      <c r="Y89" s="32"/>
      <c r="Z89" s="32"/>
      <c r="AA89" s="32"/>
      <c r="AB89" s="32"/>
    </row>
    <row r="90" spans="1:28" ht="15" customHeight="1" thickBot="1">
      <c r="A90" s="32"/>
      <c r="B90" s="32"/>
      <c r="C90" s="32"/>
      <c r="D90" s="32"/>
      <c r="E90" s="32"/>
      <c r="F90" s="32"/>
      <c r="G90" s="32"/>
      <c r="H90" s="32"/>
      <c r="I90" s="32"/>
      <c r="J90" s="32"/>
      <c r="K90" s="213"/>
      <c r="L90" s="47">
        <v>330</v>
      </c>
      <c r="M90" s="52" t="e">
        <f t="shared" si="0"/>
        <v>#REF!</v>
      </c>
      <c r="N90" s="52" t="e">
        <f t="shared" si="1"/>
        <v>#REF!</v>
      </c>
      <c r="O90" s="52" t="e">
        <f t="shared" si="2"/>
        <v>#REF!</v>
      </c>
      <c r="P90" s="52" t="e">
        <f t="shared" si="3"/>
        <v>#REF!</v>
      </c>
      <c r="Q90" s="52" t="e">
        <f t="shared" si="4"/>
        <v>#REF!</v>
      </c>
      <c r="R90" s="52" t="e">
        <f t="shared" si="5"/>
        <v>#REF!</v>
      </c>
      <c r="S90" s="52" t="e">
        <f t="shared" si="6"/>
        <v>#REF!</v>
      </c>
      <c r="T90" s="52" t="e">
        <f t="shared" si="7"/>
        <v>#REF!</v>
      </c>
      <c r="U90" s="52" t="e">
        <f t="shared" si="8"/>
        <v>#REF!</v>
      </c>
      <c r="V90" s="52" t="e">
        <f t="shared" si="9"/>
        <v>#REF!</v>
      </c>
      <c r="W90" s="52" t="e">
        <f t="shared" si="10"/>
        <v>#REF!</v>
      </c>
      <c r="X90" s="52" t="e">
        <f t="shared" si="11"/>
        <v>#REF!</v>
      </c>
      <c r="Y90" s="32"/>
      <c r="Z90" s="32"/>
      <c r="AA90" s="32"/>
      <c r="AB90" s="32"/>
    </row>
    <row r="91" spans="1:28" ht="15" customHeight="1">
      <c r="A91" s="32"/>
      <c r="B91" s="32"/>
      <c r="C91" s="32"/>
      <c r="D91" s="32"/>
      <c r="E91" s="32"/>
      <c r="F91" s="32"/>
      <c r="G91" s="32"/>
      <c r="H91" s="32"/>
      <c r="I91" s="32"/>
      <c r="J91" s="32"/>
      <c r="K91" s="48"/>
      <c r="L91" s="49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</row>
    <row r="92" spans="1:28" ht="15" customHeight="1">
      <c r="A92" s="32"/>
      <c r="B92" s="32"/>
      <c r="C92" s="32"/>
      <c r="D92" s="32"/>
      <c r="E92" s="32"/>
      <c r="F92" s="32"/>
      <c r="G92" s="32"/>
      <c r="H92" s="32"/>
      <c r="I92" s="32"/>
      <c r="J92" s="32"/>
      <c r="K92" s="48"/>
      <c r="L92" s="49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</row>
    <row r="93" spans="1:28" ht="15" customHeight="1">
      <c r="A93" s="32"/>
      <c r="B93" s="32"/>
      <c r="C93" s="32"/>
      <c r="D93" s="32"/>
      <c r="E93" s="32"/>
      <c r="F93" s="32"/>
      <c r="G93" s="32"/>
      <c r="H93" s="32"/>
      <c r="I93" s="32"/>
      <c r="J93" s="32"/>
      <c r="K93" s="48"/>
      <c r="L93" s="49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</row>
    <row r="94" spans="1:28" ht="15" customHeight="1">
      <c r="A94" s="32"/>
      <c r="B94" s="32"/>
      <c r="C94" s="32"/>
      <c r="D94" s="32"/>
      <c r="E94" s="32"/>
      <c r="F94" s="32"/>
      <c r="G94" s="32"/>
      <c r="H94" s="32"/>
      <c r="I94" s="32"/>
      <c r="J94" s="32"/>
      <c r="K94" s="48"/>
      <c r="L94" s="49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</row>
    <row r="95" spans="1:28" ht="15" customHeight="1">
      <c r="A95" s="32"/>
      <c r="B95" s="32"/>
      <c r="C95" s="32"/>
      <c r="D95" s="32"/>
      <c r="E95" s="32"/>
      <c r="F95" s="32"/>
      <c r="G95" s="32"/>
      <c r="H95" s="32"/>
      <c r="I95" s="32"/>
      <c r="J95" s="32"/>
      <c r="K95" s="48"/>
      <c r="L95" s="49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</row>
    <row r="96" spans="1:28" ht="15.75" customHeight="1">
      <c r="A96" s="32"/>
      <c r="B96" s="32"/>
      <c r="C96" s="32"/>
      <c r="D96" s="32"/>
      <c r="E96" s="32"/>
      <c r="F96" s="32"/>
      <c r="G96" s="32"/>
      <c r="H96" s="32"/>
      <c r="I96" s="32"/>
      <c r="J96" s="32"/>
      <c r="K96" s="48"/>
      <c r="L96" s="49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</row>
    <row r="97" spans="1:28" ht="15" customHeight="1">
      <c r="A97" s="32"/>
      <c r="B97" s="32"/>
      <c r="C97" s="32"/>
      <c r="D97" s="32"/>
      <c r="E97" s="32"/>
      <c r="F97" s="32"/>
      <c r="G97" s="32"/>
      <c r="H97" s="32"/>
      <c r="I97" s="32"/>
      <c r="J97" s="32"/>
      <c r="K97" s="48"/>
      <c r="L97" s="49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</row>
    <row r="98" spans="1:28" ht="15" customHeight="1">
      <c r="A98" s="32"/>
      <c r="B98" s="32"/>
      <c r="C98" s="32"/>
      <c r="D98" s="32"/>
      <c r="E98" s="32"/>
      <c r="F98" s="32"/>
      <c r="G98" s="32"/>
      <c r="H98" s="32"/>
      <c r="I98" s="32"/>
      <c r="J98" s="32"/>
      <c r="K98" s="48"/>
      <c r="L98" s="49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</row>
    <row r="99" spans="1:28" ht="15" customHeight="1">
      <c r="A99" s="32"/>
      <c r="B99" s="32"/>
      <c r="C99" s="32"/>
      <c r="D99" s="32"/>
      <c r="E99" s="32"/>
      <c r="F99" s="32"/>
      <c r="G99" s="32"/>
      <c r="H99" s="32"/>
      <c r="I99" s="32"/>
      <c r="J99" s="32"/>
      <c r="K99" s="48"/>
      <c r="L99" s="49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</row>
    <row r="100" spans="1:28" ht="15" customHeight="1">
      <c r="A100" s="32"/>
      <c r="B100" s="32"/>
      <c r="C100" s="32"/>
      <c r="D100" s="32"/>
      <c r="E100" s="32"/>
      <c r="F100" s="32"/>
      <c r="G100" s="32"/>
      <c r="H100" s="32"/>
      <c r="I100" s="32"/>
      <c r="J100" s="32"/>
      <c r="K100" s="48"/>
      <c r="L100" s="49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</row>
    <row r="101" spans="1:28" ht="15" customHeight="1">
      <c r="A101" s="32"/>
      <c r="B101" s="32"/>
      <c r="C101" s="32"/>
      <c r="D101" s="32"/>
      <c r="E101" s="32"/>
      <c r="F101" s="32"/>
      <c r="G101" s="32"/>
      <c r="H101" s="32"/>
      <c r="I101" s="32"/>
      <c r="J101" s="32"/>
      <c r="K101" s="48"/>
      <c r="L101" s="49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</row>
    <row r="102" spans="1:28" ht="15" customHeight="1">
      <c r="A102" s="32"/>
      <c r="B102" s="32"/>
      <c r="C102" s="32"/>
      <c r="D102" s="32"/>
      <c r="E102" s="32"/>
      <c r="F102" s="32"/>
      <c r="G102" s="32"/>
      <c r="H102" s="32"/>
      <c r="I102" s="32"/>
      <c r="J102" s="32"/>
      <c r="K102" s="48"/>
      <c r="L102" s="49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</row>
    <row r="103" spans="1:28" ht="15" customHeight="1">
      <c r="A103" s="32"/>
      <c r="B103" s="32"/>
      <c r="C103" s="32"/>
      <c r="D103" s="32"/>
      <c r="E103" s="32"/>
      <c r="F103" s="32"/>
      <c r="G103" s="32"/>
      <c r="H103" s="32"/>
      <c r="I103" s="32"/>
      <c r="J103" s="32"/>
      <c r="K103" s="48"/>
      <c r="L103" s="49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</row>
    <row r="104" spans="1:28" ht="15" customHeight="1">
      <c r="A104" s="32"/>
      <c r="B104" s="32"/>
      <c r="C104" s="32"/>
      <c r="D104" s="32"/>
      <c r="E104" s="32"/>
      <c r="F104" s="32"/>
      <c r="G104" s="32"/>
      <c r="H104" s="32"/>
      <c r="I104" s="32"/>
      <c r="J104" s="32"/>
      <c r="K104" s="48"/>
      <c r="L104" s="49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</row>
    <row r="105" spans="1:28" ht="15" customHeight="1">
      <c r="A105" s="32"/>
      <c r="B105" s="32"/>
      <c r="C105" s="32"/>
      <c r="D105" s="32"/>
      <c r="E105" s="32"/>
      <c r="F105" s="32"/>
      <c r="G105" s="32"/>
      <c r="H105" s="32"/>
      <c r="I105" s="32"/>
      <c r="J105" s="32"/>
      <c r="K105" s="48"/>
      <c r="L105" s="49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</row>
    <row r="106" spans="1:28" ht="15" customHeight="1">
      <c r="A106" s="32"/>
      <c r="B106" s="32"/>
      <c r="C106" s="32"/>
      <c r="D106" s="32"/>
      <c r="E106" s="32"/>
      <c r="F106" s="32"/>
      <c r="G106" s="32"/>
      <c r="H106" s="32"/>
      <c r="I106" s="32"/>
      <c r="J106" s="32"/>
      <c r="K106" s="48"/>
      <c r="L106" s="49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</row>
    <row r="107" spans="1:28" ht="15" customHeight="1">
      <c r="A107" s="32"/>
      <c r="B107" s="32"/>
      <c r="C107" s="32"/>
      <c r="D107" s="32"/>
      <c r="E107" s="32"/>
      <c r="F107" s="32"/>
      <c r="G107" s="32"/>
      <c r="H107" s="32"/>
      <c r="I107" s="32"/>
      <c r="J107" s="32"/>
      <c r="K107" s="48"/>
      <c r="L107" s="49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</row>
    <row r="108" spans="1:28" ht="15" customHeight="1">
      <c r="I108" s="31"/>
    </row>
    <row r="109" spans="1:28" ht="15" customHeight="1">
      <c r="I109" s="31"/>
    </row>
    <row r="110" spans="1:28" ht="15" customHeight="1">
      <c r="I110" s="31"/>
    </row>
    <row r="111" spans="1:28" ht="15" customHeight="1">
      <c r="I111" s="31"/>
    </row>
    <row r="112" spans="1:28" ht="15" customHeight="1">
      <c r="I112" s="31"/>
    </row>
    <row r="113" spans="9:9" ht="15" customHeight="1">
      <c r="I113" s="31"/>
    </row>
    <row r="114" spans="9:9" ht="15" customHeight="1">
      <c r="I114" s="31"/>
    </row>
    <row r="115" spans="9:9" ht="15.75" customHeight="1">
      <c r="I115" s="31"/>
    </row>
  </sheetData>
  <mergeCells count="13">
    <mergeCell ref="B1:G2"/>
    <mergeCell ref="J5:K5"/>
    <mergeCell ref="G7:G8"/>
    <mergeCell ref="I7:N7"/>
    <mergeCell ref="A40:A41"/>
    <mergeCell ref="B40:G41"/>
    <mergeCell ref="K59:K90"/>
    <mergeCell ref="H42:J43"/>
    <mergeCell ref="A47:A48"/>
    <mergeCell ref="B47:G48"/>
    <mergeCell ref="M54:X55"/>
    <mergeCell ref="B57:G57"/>
    <mergeCell ref="B58:G58"/>
  </mergeCells>
  <pageMargins left="0.7" right="0.7" top="0.75" bottom="0.75" header="0.3" footer="0.3"/>
  <pageSetup paperSize="9"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Foglio10"/>
  <dimension ref="A1:C18"/>
  <sheetViews>
    <sheetView workbookViewId="0">
      <selection activeCell="C13" sqref="C13:C14"/>
    </sheetView>
  </sheetViews>
  <sheetFormatPr defaultColWidth="9.140625" defaultRowHeight="16.5"/>
  <cols>
    <col min="1" max="1" width="34.140625" style="151" customWidth="1"/>
    <col min="2" max="2" width="45.28515625" style="151" customWidth="1"/>
    <col min="3" max="3" width="35.28515625" style="151" customWidth="1"/>
    <col min="4" max="12" width="29.85546875" style="151" customWidth="1"/>
    <col min="13" max="16384" width="9.140625" style="151"/>
  </cols>
  <sheetData>
    <row r="1" spans="1:3" ht="13.5" customHeight="1">
      <c r="A1" s="237" t="s">
        <v>212</v>
      </c>
      <c r="B1" s="182" t="s">
        <v>213</v>
      </c>
      <c r="C1" s="182" t="s">
        <v>214</v>
      </c>
    </row>
    <row r="2" spans="1:3" ht="12.75" customHeight="1" thickBot="1">
      <c r="A2" s="238"/>
      <c r="B2" s="183" t="s">
        <v>215</v>
      </c>
      <c r="C2" s="183" t="s">
        <v>216</v>
      </c>
    </row>
    <row r="3" spans="1:3" ht="17.25" thickBot="1">
      <c r="A3" s="184" t="s">
        <v>124</v>
      </c>
      <c r="B3" s="185">
        <v>8</v>
      </c>
      <c r="C3" s="185">
        <v>10</v>
      </c>
    </row>
    <row r="4" spans="1:3" ht="17.25" thickBot="1">
      <c r="A4" s="186" t="s">
        <v>125</v>
      </c>
      <c r="B4" s="187">
        <v>12</v>
      </c>
      <c r="C4" s="187">
        <v>15</v>
      </c>
    </row>
    <row r="5" spans="1:3" ht="17.25" thickBot="1">
      <c r="A5" s="184" t="s">
        <v>126</v>
      </c>
      <c r="B5" s="185">
        <v>16</v>
      </c>
      <c r="C5" s="185">
        <v>20</v>
      </c>
    </row>
    <row r="6" spans="1:3" ht="17.25" thickBot="1">
      <c r="A6" s="186" t="s">
        <v>127</v>
      </c>
      <c r="B6" s="187">
        <v>20</v>
      </c>
      <c r="C6" s="187">
        <v>25</v>
      </c>
    </row>
    <row r="7" spans="1:3" ht="17.25" thickBot="1">
      <c r="A7" s="184" t="s">
        <v>128</v>
      </c>
      <c r="B7" s="185">
        <v>25</v>
      </c>
      <c r="C7" s="185">
        <v>30</v>
      </c>
    </row>
    <row r="8" spans="1:3" ht="17.25" thickBot="1">
      <c r="A8" s="186" t="s">
        <v>227</v>
      </c>
      <c r="B8" s="187">
        <v>32</v>
      </c>
      <c r="C8" s="187">
        <v>40</v>
      </c>
    </row>
    <row r="9" spans="1:3" ht="17.25" thickBot="1">
      <c r="A9" s="184" t="s">
        <v>129</v>
      </c>
      <c r="B9" s="185">
        <v>35</v>
      </c>
      <c r="C9" s="185">
        <v>45</v>
      </c>
    </row>
    <row r="10" spans="1:3" ht="17.25" thickBot="1">
      <c r="A10" s="186" t="s">
        <v>130</v>
      </c>
      <c r="B10" s="187">
        <v>40</v>
      </c>
      <c r="C10" s="187">
        <v>50</v>
      </c>
    </row>
    <row r="11" spans="1:3" ht="17.25" thickBot="1">
      <c r="A11" s="184" t="s">
        <v>131</v>
      </c>
      <c r="B11" s="185">
        <v>45</v>
      </c>
      <c r="C11" s="185">
        <v>55</v>
      </c>
    </row>
    <row r="12" spans="1:3" ht="17.25" thickBot="1">
      <c r="A12" s="186" t="s">
        <v>132</v>
      </c>
      <c r="B12" s="187">
        <v>50</v>
      </c>
      <c r="C12" s="187">
        <v>60</v>
      </c>
    </row>
    <row r="13" spans="1:3" ht="17.25" thickBot="1">
      <c r="A13" s="184" t="s">
        <v>217</v>
      </c>
      <c r="B13" s="185">
        <v>55</v>
      </c>
      <c r="C13" s="185">
        <v>67</v>
      </c>
    </row>
    <row r="14" spans="1:3" ht="17.25" thickBot="1">
      <c r="A14" s="186" t="s">
        <v>133</v>
      </c>
      <c r="B14" s="187">
        <v>60</v>
      </c>
      <c r="C14" s="187">
        <v>75</v>
      </c>
    </row>
    <row r="15" spans="1:3" ht="17.25" thickBot="1">
      <c r="A15" s="184" t="s">
        <v>134</v>
      </c>
      <c r="B15" s="185">
        <v>70</v>
      </c>
      <c r="C15" s="185">
        <v>85</v>
      </c>
    </row>
    <row r="16" spans="1:3" ht="17.25" thickBot="1">
      <c r="A16" s="186" t="s">
        <v>135</v>
      </c>
      <c r="B16" s="187">
        <v>80</v>
      </c>
      <c r="C16" s="187">
        <v>95</v>
      </c>
    </row>
    <row r="17" spans="1:3" ht="17.25" thickBot="1">
      <c r="A17" s="184" t="s">
        <v>136</v>
      </c>
      <c r="B17" s="185">
        <v>90</v>
      </c>
      <c r="C17" s="185">
        <v>105</v>
      </c>
    </row>
    <row r="18" spans="1:3" ht="17.25" thickBot="1">
      <c r="A18" s="186" t="s">
        <v>218</v>
      </c>
      <c r="B18" s="187">
        <v>100</v>
      </c>
      <c r="C18" s="187">
        <v>115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4</vt:i4>
      </vt:variant>
      <vt:variant>
        <vt:lpstr>Intervalli denominati</vt:lpstr>
      </vt:variant>
      <vt:variant>
        <vt:i4>22</vt:i4>
      </vt:variant>
    </vt:vector>
  </HeadingPairs>
  <TitlesOfParts>
    <vt:vector size="26" baseType="lpstr">
      <vt:lpstr>PROGETTO_STAFFE</vt:lpstr>
      <vt:lpstr>VERIFICA_STAFFE</vt:lpstr>
      <vt:lpstr>PROG_STAFFE ZONE CRITICHE</vt:lpstr>
      <vt:lpstr>DATI CLS</vt:lpstr>
      <vt:lpstr>A_sw</vt:lpstr>
      <vt:lpstr>alfa</vt:lpstr>
      <vt:lpstr>alfacc</vt:lpstr>
      <vt:lpstr>Asw</vt:lpstr>
      <vt:lpstr>bw</vt:lpstr>
      <vt:lpstr>Celle_sbloccate</vt:lpstr>
      <vt:lpstr>coprif</vt:lpstr>
      <vt:lpstr>cottheta</vt:lpstr>
      <vt:lpstr>d</vt:lpstr>
      <vt:lpstr>f_yd</vt:lpstr>
      <vt:lpstr>f1cd</vt:lpstr>
      <vt:lpstr>fcd</vt:lpstr>
      <vt:lpstr>fyd</vt:lpstr>
      <vt:lpstr>h</vt:lpstr>
      <vt:lpstr>nb</vt:lpstr>
      <vt:lpstr>ni</vt:lpstr>
      <vt:lpstr>Nsd</vt:lpstr>
      <vt:lpstr>phi</vt:lpstr>
      <vt:lpstr>phi_min</vt:lpstr>
      <vt:lpstr>s</vt:lpstr>
      <vt:lpstr>sigma</vt:lpstr>
      <vt:lpstr>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Riccardo Romeo</cp:lastModifiedBy>
  <dcterms:created xsi:type="dcterms:W3CDTF">2013-04-22T08:19:22Z</dcterms:created>
  <dcterms:modified xsi:type="dcterms:W3CDTF">2026-05-21T14:55:29Z</dcterms:modified>
</cp:coreProperties>
</file>